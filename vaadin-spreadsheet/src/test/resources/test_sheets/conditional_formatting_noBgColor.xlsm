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tagetik-2017-spreadsheet-master\vaadin-spreadsheet\src\test\resources\test_sheets\"/>
    </mc:Choice>
  </mc:AlternateContent>
  <bookViews>
    <workbookView xWindow="0" yWindow="0" windowWidth="28800" windowHeight="12435" firstSheet="1" activeTab="1"/>
  </bookViews>
  <sheets>
    <sheet name="_TGK_HIDDEN" sheetId="2" state="veryHidden" r:id="rId1"/>
    <sheet name="C" sheetId="3" r:id="rId2"/>
    <sheet name="E" sheetId="5" r:id="rId3"/>
    <sheet name="M" sheetId="6" r:id="rId4"/>
    <sheet name="_tgk_hidden_styles" sheetId="4" state="hidden" r:id="rId5"/>
  </sheets>
  <definedNames>
    <definedName name="FCorACT" localSheetId="4">M!$10:$10</definedName>
    <definedName name="FCorACT" localSheetId="3">E!$10:$10</definedName>
    <definedName name="FCorACT">'C'!$10:$10</definedName>
    <definedName name="Quartale" localSheetId="4">M!$11:$11</definedName>
    <definedName name="Quartale" localSheetId="3">E!$11:$11</definedName>
    <definedName name="Quartale">'C'!$11:$11</definedName>
    <definedName name="SCECODE" localSheetId="4">M!$C$1</definedName>
    <definedName name="SCECODE" localSheetId="3">E!$C$1</definedName>
    <definedName name="SCECODE">'C'!$C$1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64" i="6" l="1"/>
  <c r="P64" i="6"/>
  <c r="J64" i="6"/>
  <c r="D64" i="6"/>
  <c r="V56" i="6"/>
  <c r="P56" i="6"/>
  <c r="J56" i="6"/>
  <c r="D56" i="6"/>
  <c r="V55" i="6"/>
  <c r="P55" i="6"/>
  <c r="J55" i="6"/>
  <c r="D55" i="6"/>
  <c r="V54" i="6"/>
  <c r="P54" i="6"/>
  <c r="J54" i="6"/>
  <c r="D54" i="6"/>
  <c r="V53" i="6"/>
  <c r="P53" i="6"/>
  <c r="J53" i="6"/>
  <c r="D53" i="6"/>
  <c r="V52" i="6"/>
  <c r="P52" i="6"/>
  <c r="J52" i="6"/>
  <c r="D52" i="6"/>
  <c r="V51" i="6"/>
  <c r="P51" i="6"/>
  <c r="J51" i="6"/>
  <c r="D51" i="6"/>
  <c r="V43" i="6"/>
  <c r="V65" i="6" s="1"/>
  <c r="P43" i="6"/>
  <c r="P65" i="6" s="1"/>
  <c r="J43" i="6"/>
  <c r="D43" i="6"/>
  <c r="V42" i="6"/>
  <c r="P42" i="6"/>
  <c r="J42" i="6"/>
  <c r="D42" i="6"/>
  <c r="V41" i="6"/>
  <c r="P41" i="6"/>
  <c r="J41" i="6"/>
  <c r="D41" i="6"/>
  <c r="V40" i="6"/>
  <c r="P40" i="6"/>
  <c r="J40" i="6"/>
  <c r="D40" i="6"/>
  <c r="V39" i="6"/>
  <c r="P39" i="6"/>
  <c r="J39" i="6"/>
  <c r="D39" i="6"/>
  <c r="V38" i="6"/>
  <c r="P38" i="6"/>
  <c r="J38" i="6"/>
  <c r="D38" i="6"/>
  <c r="V37" i="6"/>
  <c r="P37" i="6"/>
  <c r="J37" i="6"/>
  <c r="D37" i="6"/>
  <c r="Z36" i="6"/>
  <c r="Y36" i="6"/>
  <c r="X36" i="6"/>
  <c r="W36" i="6"/>
  <c r="V36" i="6"/>
  <c r="T36" i="6"/>
  <c r="S36" i="6"/>
  <c r="R36" i="6"/>
  <c r="Q36" i="6"/>
  <c r="P36" i="6"/>
  <c r="N36" i="6"/>
  <c r="M36" i="6"/>
  <c r="L36" i="6"/>
  <c r="K36" i="6"/>
  <c r="J36" i="6"/>
  <c r="H36" i="6"/>
  <c r="G36" i="6"/>
  <c r="F36" i="6"/>
  <c r="E36" i="6"/>
  <c r="D36" i="6"/>
  <c r="V35" i="6"/>
  <c r="P35" i="6"/>
  <c r="J35" i="6"/>
  <c r="D35" i="6"/>
  <c r="V34" i="6"/>
  <c r="P34" i="6"/>
  <c r="J34" i="6"/>
  <c r="D34" i="6"/>
  <c r="V33" i="6"/>
  <c r="P33" i="6"/>
  <c r="J33" i="6"/>
  <c r="D33" i="6"/>
  <c r="V32" i="6"/>
  <c r="P32" i="6"/>
  <c r="J32" i="6"/>
  <c r="D32" i="6"/>
  <c r="V31" i="6"/>
  <c r="P31" i="6"/>
  <c r="J31" i="6"/>
  <c r="D31" i="6"/>
  <c r="V30" i="6"/>
  <c r="P30" i="6"/>
  <c r="J30" i="6"/>
  <c r="D30" i="6"/>
  <c r="Z29" i="6"/>
  <c r="Y29" i="6"/>
  <c r="X29" i="6"/>
  <c r="W29" i="6"/>
  <c r="V29" i="6"/>
  <c r="T29" i="6"/>
  <c r="S29" i="6"/>
  <c r="R29" i="6"/>
  <c r="Q29" i="6"/>
  <c r="P29" i="6"/>
  <c r="N29" i="6"/>
  <c r="M29" i="6"/>
  <c r="L29" i="6"/>
  <c r="K29" i="6"/>
  <c r="J29" i="6"/>
  <c r="H29" i="6"/>
  <c r="G29" i="6"/>
  <c r="F29" i="6"/>
  <c r="E29" i="6"/>
  <c r="D29" i="6"/>
  <c r="Z28" i="6"/>
  <c r="Z49" i="6" s="1"/>
  <c r="Z63" i="6" s="1"/>
  <c r="Y28" i="6"/>
  <c r="Y49" i="6" s="1"/>
  <c r="Y63" i="6" s="1"/>
  <c r="X28" i="6"/>
  <c r="X49" i="6" s="1"/>
  <c r="X63" i="6" s="1"/>
  <c r="W28" i="6"/>
  <c r="W49" i="6" s="1"/>
  <c r="W63" i="6" s="1"/>
  <c r="V28" i="6"/>
  <c r="T28" i="6"/>
  <c r="T49" i="6" s="1"/>
  <c r="T63" i="6" s="1"/>
  <c r="S28" i="6"/>
  <c r="S49" i="6" s="1"/>
  <c r="S63" i="6" s="1"/>
  <c r="R28" i="6"/>
  <c r="R49" i="6" s="1"/>
  <c r="R63" i="6" s="1"/>
  <c r="Q28" i="6"/>
  <c r="Q49" i="6" s="1"/>
  <c r="Q63" i="6" s="1"/>
  <c r="P28" i="6"/>
  <c r="N28" i="6"/>
  <c r="N49" i="6" s="1"/>
  <c r="N63" i="6" s="1"/>
  <c r="M28" i="6"/>
  <c r="M49" i="6" s="1"/>
  <c r="M63" i="6" s="1"/>
  <c r="L28" i="6"/>
  <c r="L49" i="6" s="1"/>
  <c r="L63" i="6" s="1"/>
  <c r="K28" i="6"/>
  <c r="K49" i="6" s="1"/>
  <c r="K63" i="6" s="1"/>
  <c r="J28" i="6"/>
  <c r="H28" i="6"/>
  <c r="H49" i="6" s="1"/>
  <c r="H63" i="6" s="1"/>
  <c r="G28" i="6"/>
  <c r="G49" i="6" s="1"/>
  <c r="G63" i="6" s="1"/>
  <c r="F28" i="6"/>
  <c r="F49" i="6" s="1"/>
  <c r="F63" i="6" s="1"/>
  <c r="E28" i="6"/>
  <c r="E49" i="6" s="1"/>
  <c r="E63" i="6" s="1"/>
  <c r="D28" i="6"/>
  <c r="Z27" i="6"/>
  <c r="Z48" i="6" s="1"/>
  <c r="Z62" i="6" s="1"/>
  <c r="Y27" i="6"/>
  <c r="Y48" i="6" s="1"/>
  <c r="Y62" i="6" s="1"/>
  <c r="X27" i="6"/>
  <c r="X48" i="6" s="1"/>
  <c r="X62" i="6" s="1"/>
  <c r="W27" i="6"/>
  <c r="W48" i="6" s="1"/>
  <c r="W62" i="6" s="1"/>
  <c r="V27" i="6"/>
  <c r="T27" i="6"/>
  <c r="T48" i="6" s="1"/>
  <c r="T62" i="6" s="1"/>
  <c r="S27" i="6"/>
  <c r="S48" i="6" s="1"/>
  <c r="S62" i="6" s="1"/>
  <c r="R27" i="6"/>
  <c r="R48" i="6" s="1"/>
  <c r="R62" i="6" s="1"/>
  <c r="Q27" i="6"/>
  <c r="Q48" i="6" s="1"/>
  <c r="Q62" i="6" s="1"/>
  <c r="P27" i="6"/>
  <c r="N27" i="6"/>
  <c r="N48" i="6" s="1"/>
  <c r="N62" i="6" s="1"/>
  <c r="M27" i="6"/>
  <c r="M48" i="6" s="1"/>
  <c r="M62" i="6" s="1"/>
  <c r="L27" i="6"/>
  <c r="L48" i="6" s="1"/>
  <c r="L62" i="6" s="1"/>
  <c r="K27" i="6"/>
  <c r="K48" i="6" s="1"/>
  <c r="K62" i="6" s="1"/>
  <c r="J27" i="6"/>
  <c r="H27" i="6"/>
  <c r="H48" i="6" s="1"/>
  <c r="H62" i="6" s="1"/>
  <c r="G27" i="6"/>
  <c r="G48" i="6" s="1"/>
  <c r="G62" i="6" s="1"/>
  <c r="F27" i="6"/>
  <c r="F48" i="6" s="1"/>
  <c r="F62" i="6" s="1"/>
  <c r="E27" i="6"/>
  <c r="E48" i="6" s="1"/>
  <c r="E62" i="6" s="1"/>
  <c r="D27" i="6"/>
  <c r="Z26" i="6"/>
  <c r="Z47" i="6" s="1"/>
  <c r="Z61" i="6" s="1"/>
  <c r="Y26" i="6"/>
  <c r="Y47" i="6" s="1"/>
  <c r="Y61" i="6" s="1"/>
  <c r="X26" i="6"/>
  <c r="X47" i="6" s="1"/>
  <c r="X61" i="6" s="1"/>
  <c r="W26" i="6"/>
  <c r="W47" i="6" s="1"/>
  <c r="W61" i="6" s="1"/>
  <c r="V26" i="6"/>
  <c r="T26" i="6"/>
  <c r="T47" i="6" s="1"/>
  <c r="T61" i="6" s="1"/>
  <c r="S26" i="6"/>
  <c r="S47" i="6" s="1"/>
  <c r="S61" i="6" s="1"/>
  <c r="R26" i="6"/>
  <c r="R47" i="6" s="1"/>
  <c r="R61" i="6" s="1"/>
  <c r="Q26" i="6"/>
  <c r="Q47" i="6" s="1"/>
  <c r="Q61" i="6" s="1"/>
  <c r="P26" i="6"/>
  <c r="N26" i="6"/>
  <c r="N47" i="6" s="1"/>
  <c r="N61" i="6" s="1"/>
  <c r="M26" i="6"/>
  <c r="M47" i="6" s="1"/>
  <c r="M61" i="6" s="1"/>
  <c r="L26" i="6"/>
  <c r="L47" i="6" s="1"/>
  <c r="L61" i="6" s="1"/>
  <c r="K26" i="6"/>
  <c r="K47" i="6" s="1"/>
  <c r="K61" i="6" s="1"/>
  <c r="J26" i="6"/>
  <c r="H26" i="6"/>
  <c r="H47" i="6" s="1"/>
  <c r="H61" i="6" s="1"/>
  <c r="G26" i="6"/>
  <c r="G47" i="6" s="1"/>
  <c r="G61" i="6" s="1"/>
  <c r="F26" i="6"/>
  <c r="F47" i="6" s="1"/>
  <c r="F61" i="6" s="1"/>
  <c r="E26" i="6"/>
  <c r="E47" i="6" s="1"/>
  <c r="E61" i="6" s="1"/>
  <c r="D26" i="6"/>
  <c r="Z25" i="6"/>
  <c r="Z46" i="6" s="1"/>
  <c r="Z60" i="6" s="1"/>
  <c r="Y25" i="6"/>
  <c r="Y46" i="6" s="1"/>
  <c r="Y60" i="6" s="1"/>
  <c r="X25" i="6"/>
  <c r="X46" i="6" s="1"/>
  <c r="X60" i="6" s="1"/>
  <c r="W25" i="6"/>
  <c r="W46" i="6" s="1"/>
  <c r="W60" i="6" s="1"/>
  <c r="V25" i="6"/>
  <c r="T25" i="6"/>
  <c r="T46" i="6" s="1"/>
  <c r="T60" i="6" s="1"/>
  <c r="S25" i="6"/>
  <c r="S46" i="6" s="1"/>
  <c r="S60" i="6" s="1"/>
  <c r="R25" i="6"/>
  <c r="R46" i="6" s="1"/>
  <c r="R60" i="6" s="1"/>
  <c r="Q25" i="6"/>
  <c r="Q46" i="6" s="1"/>
  <c r="Q60" i="6" s="1"/>
  <c r="P25" i="6"/>
  <c r="N25" i="6"/>
  <c r="N46" i="6" s="1"/>
  <c r="N60" i="6" s="1"/>
  <c r="M25" i="6"/>
  <c r="M46" i="6" s="1"/>
  <c r="M60" i="6" s="1"/>
  <c r="L25" i="6"/>
  <c r="L46" i="6" s="1"/>
  <c r="L60" i="6" s="1"/>
  <c r="K25" i="6"/>
  <c r="K46" i="6" s="1"/>
  <c r="K60" i="6" s="1"/>
  <c r="J25" i="6"/>
  <c r="H25" i="6"/>
  <c r="H46" i="6" s="1"/>
  <c r="H60" i="6" s="1"/>
  <c r="G25" i="6"/>
  <c r="G46" i="6" s="1"/>
  <c r="G60" i="6" s="1"/>
  <c r="F25" i="6"/>
  <c r="F46" i="6" s="1"/>
  <c r="F60" i="6" s="1"/>
  <c r="E25" i="6"/>
  <c r="E46" i="6" s="1"/>
  <c r="E60" i="6" s="1"/>
  <c r="D25" i="6"/>
  <c r="Z24" i="6"/>
  <c r="Z45" i="6" s="1"/>
  <c r="Z59" i="6" s="1"/>
  <c r="Y24" i="6"/>
  <c r="Y45" i="6" s="1"/>
  <c r="Y59" i="6" s="1"/>
  <c r="X24" i="6"/>
  <c r="X45" i="6" s="1"/>
  <c r="X59" i="6" s="1"/>
  <c r="W24" i="6"/>
  <c r="W45" i="6" s="1"/>
  <c r="W59" i="6" s="1"/>
  <c r="V24" i="6"/>
  <c r="T24" i="6"/>
  <c r="T45" i="6" s="1"/>
  <c r="T59" i="6" s="1"/>
  <c r="S24" i="6"/>
  <c r="S45" i="6" s="1"/>
  <c r="S59" i="6" s="1"/>
  <c r="R24" i="6"/>
  <c r="R45" i="6" s="1"/>
  <c r="R59" i="6" s="1"/>
  <c r="Q24" i="6"/>
  <c r="Q45" i="6" s="1"/>
  <c r="Q59" i="6" s="1"/>
  <c r="P24" i="6"/>
  <c r="N24" i="6"/>
  <c r="N45" i="6" s="1"/>
  <c r="N59" i="6" s="1"/>
  <c r="M24" i="6"/>
  <c r="M45" i="6" s="1"/>
  <c r="M59" i="6" s="1"/>
  <c r="L24" i="6"/>
  <c r="L45" i="6" s="1"/>
  <c r="L59" i="6" s="1"/>
  <c r="K24" i="6"/>
  <c r="K45" i="6" s="1"/>
  <c r="K59" i="6" s="1"/>
  <c r="J24" i="6"/>
  <c r="H24" i="6"/>
  <c r="H45" i="6" s="1"/>
  <c r="H59" i="6" s="1"/>
  <c r="G24" i="6"/>
  <c r="G45" i="6" s="1"/>
  <c r="G59" i="6" s="1"/>
  <c r="F24" i="6"/>
  <c r="F45" i="6" s="1"/>
  <c r="F59" i="6" s="1"/>
  <c r="E24" i="6"/>
  <c r="E45" i="6" s="1"/>
  <c r="E59" i="6" s="1"/>
  <c r="D24" i="6"/>
  <c r="Z23" i="6"/>
  <c r="Z44" i="6" s="1"/>
  <c r="Y23" i="6"/>
  <c r="Y44" i="6" s="1"/>
  <c r="X23" i="6"/>
  <c r="X44" i="6" s="1"/>
  <c r="W23" i="6"/>
  <c r="W44" i="6" s="1"/>
  <c r="V23" i="6"/>
  <c r="T23" i="6"/>
  <c r="T44" i="6" s="1"/>
  <c r="S23" i="6"/>
  <c r="S44" i="6" s="1"/>
  <c r="R23" i="6"/>
  <c r="R44" i="6" s="1"/>
  <c r="Q23" i="6"/>
  <c r="Q44" i="6" s="1"/>
  <c r="P23" i="6"/>
  <c r="N23" i="6"/>
  <c r="N44" i="6" s="1"/>
  <c r="N58" i="6" s="1"/>
  <c r="M23" i="6"/>
  <c r="M44" i="6" s="1"/>
  <c r="L23" i="6"/>
  <c r="L44" i="6" s="1"/>
  <c r="K23" i="6"/>
  <c r="K44" i="6" s="1"/>
  <c r="J23" i="6"/>
  <c r="H23" i="6"/>
  <c r="H44" i="6" s="1"/>
  <c r="G23" i="6"/>
  <c r="G44" i="6" s="1"/>
  <c r="F23" i="6"/>
  <c r="F44" i="6" s="1"/>
  <c r="F58" i="6" s="1"/>
  <c r="E23" i="6"/>
  <c r="E44" i="6" s="1"/>
  <c r="D23" i="6"/>
  <c r="Z22" i="6"/>
  <c r="Y22" i="6"/>
  <c r="X22" i="6"/>
  <c r="W22" i="6"/>
  <c r="V22" i="6"/>
  <c r="T22" i="6"/>
  <c r="S22" i="6"/>
  <c r="R22" i="6"/>
  <c r="Q22" i="6"/>
  <c r="P22" i="6"/>
  <c r="N22" i="6"/>
  <c r="M22" i="6"/>
  <c r="L22" i="6"/>
  <c r="K22" i="6"/>
  <c r="J22" i="6"/>
  <c r="H22" i="6"/>
  <c r="G22" i="6"/>
  <c r="F22" i="6"/>
  <c r="E22" i="6"/>
  <c r="D22" i="6"/>
  <c r="V21" i="6"/>
  <c r="V49" i="6" s="1"/>
  <c r="V63" i="6" s="1"/>
  <c r="P21" i="6"/>
  <c r="P49" i="6" s="1"/>
  <c r="P63" i="6" s="1"/>
  <c r="J21" i="6"/>
  <c r="J49" i="6" s="1"/>
  <c r="J63" i="6" s="1"/>
  <c r="D21" i="6"/>
  <c r="D49" i="6" s="1"/>
  <c r="D63" i="6" s="1"/>
  <c r="V20" i="6"/>
  <c r="V48" i="6" s="1"/>
  <c r="V62" i="6" s="1"/>
  <c r="P20" i="6"/>
  <c r="P48" i="6" s="1"/>
  <c r="P62" i="6" s="1"/>
  <c r="J20" i="6"/>
  <c r="J48" i="6" s="1"/>
  <c r="J62" i="6" s="1"/>
  <c r="D20" i="6"/>
  <c r="D48" i="6" s="1"/>
  <c r="D62" i="6" s="1"/>
  <c r="V19" i="6"/>
  <c r="V47" i="6" s="1"/>
  <c r="V61" i="6" s="1"/>
  <c r="P19" i="6"/>
  <c r="P47" i="6" s="1"/>
  <c r="P61" i="6" s="1"/>
  <c r="J19" i="6"/>
  <c r="J47" i="6" s="1"/>
  <c r="J61" i="6" s="1"/>
  <c r="D19" i="6"/>
  <c r="D47" i="6" s="1"/>
  <c r="D61" i="6" s="1"/>
  <c r="V18" i="6"/>
  <c r="V46" i="6" s="1"/>
  <c r="V60" i="6" s="1"/>
  <c r="P18" i="6"/>
  <c r="P46" i="6" s="1"/>
  <c r="P60" i="6" s="1"/>
  <c r="J18" i="6"/>
  <c r="J46" i="6" s="1"/>
  <c r="J60" i="6" s="1"/>
  <c r="D18" i="6"/>
  <c r="D46" i="6" s="1"/>
  <c r="D60" i="6" s="1"/>
  <c r="V17" i="6"/>
  <c r="V45" i="6" s="1"/>
  <c r="V59" i="6" s="1"/>
  <c r="P17" i="6"/>
  <c r="P45" i="6" s="1"/>
  <c r="P59" i="6" s="1"/>
  <c r="J17" i="6"/>
  <c r="J45" i="6" s="1"/>
  <c r="J59" i="6" s="1"/>
  <c r="D17" i="6"/>
  <c r="D45" i="6" s="1"/>
  <c r="D59" i="6" s="1"/>
  <c r="V16" i="6"/>
  <c r="V44" i="6" s="1"/>
  <c r="V58" i="6" s="1"/>
  <c r="P16" i="6"/>
  <c r="P44" i="6" s="1"/>
  <c r="P58" i="6" s="1"/>
  <c r="J16" i="6"/>
  <c r="J44" i="6" s="1"/>
  <c r="J58" i="6" s="1"/>
  <c r="D16" i="6"/>
  <c r="D44" i="6" s="1"/>
  <c r="D58" i="6" s="1"/>
  <c r="Z15" i="6"/>
  <c r="Y15" i="6"/>
  <c r="X15" i="6"/>
  <c r="W15" i="6"/>
  <c r="V15" i="6"/>
  <c r="T15" i="6"/>
  <c r="S15" i="6"/>
  <c r="R15" i="6"/>
  <c r="Q15" i="6"/>
  <c r="P15" i="6"/>
  <c r="N15" i="6"/>
  <c r="M15" i="6"/>
  <c r="L15" i="6"/>
  <c r="K15" i="6"/>
  <c r="J15" i="6"/>
  <c r="H15" i="6"/>
  <c r="G15" i="6"/>
  <c r="F15" i="6"/>
  <c r="E15" i="6"/>
  <c r="D15" i="6"/>
  <c r="V14" i="6"/>
  <c r="P14" i="6"/>
  <c r="J14" i="6"/>
  <c r="D14" i="6"/>
  <c r="V13" i="6"/>
  <c r="P13" i="6"/>
  <c r="J13" i="6"/>
  <c r="D13" i="6"/>
  <c r="Z12" i="6"/>
  <c r="Z14" i="6" s="1"/>
  <c r="Y12" i="6"/>
  <c r="Y14" i="6" s="1"/>
  <c r="X12" i="6"/>
  <c r="X14" i="6" s="1"/>
  <c r="W12" i="6"/>
  <c r="W14" i="6" s="1"/>
  <c r="V12" i="6"/>
  <c r="T12" i="6"/>
  <c r="T14" i="6" s="1"/>
  <c r="S12" i="6"/>
  <c r="S14" i="6" s="1"/>
  <c r="R12" i="6"/>
  <c r="R14" i="6" s="1"/>
  <c r="Q12" i="6"/>
  <c r="Q14" i="6" s="1"/>
  <c r="P12" i="6"/>
  <c r="N12" i="6"/>
  <c r="N14" i="6" s="1"/>
  <c r="M12" i="6"/>
  <c r="M14" i="6" s="1"/>
  <c r="L12" i="6"/>
  <c r="L14" i="6" s="1"/>
  <c r="K12" i="6"/>
  <c r="K14" i="6" s="1"/>
  <c r="J12" i="6"/>
  <c r="H12" i="6"/>
  <c r="H14" i="6" s="1"/>
  <c r="G12" i="6"/>
  <c r="G14" i="6" s="1"/>
  <c r="F12" i="6"/>
  <c r="F14" i="6" s="1"/>
  <c r="E12" i="6"/>
  <c r="E14" i="6" s="1"/>
  <c r="D12" i="6"/>
  <c r="V64" i="5"/>
  <c r="P64" i="5"/>
  <c r="J64" i="5"/>
  <c r="D64" i="5"/>
  <c r="V56" i="5"/>
  <c r="P56" i="5"/>
  <c r="J56" i="5"/>
  <c r="D56" i="5"/>
  <c r="V55" i="5"/>
  <c r="P55" i="5"/>
  <c r="J55" i="5"/>
  <c r="D55" i="5"/>
  <c r="V54" i="5"/>
  <c r="P54" i="5"/>
  <c r="J54" i="5"/>
  <c r="D54" i="5"/>
  <c r="V53" i="5"/>
  <c r="P53" i="5"/>
  <c r="J53" i="5"/>
  <c r="D53" i="5"/>
  <c r="V52" i="5"/>
  <c r="P52" i="5"/>
  <c r="J52" i="5"/>
  <c r="D52" i="5"/>
  <c r="V51" i="5"/>
  <c r="P51" i="5"/>
  <c r="J51" i="5"/>
  <c r="D51" i="5"/>
  <c r="V43" i="5"/>
  <c r="V65" i="5" s="1"/>
  <c r="P43" i="5"/>
  <c r="P65" i="5" s="1"/>
  <c r="J43" i="5"/>
  <c r="J65" i="5" s="1"/>
  <c r="D43" i="5"/>
  <c r="D65" i="5" s="1"/>
  <c r="V42" i="5"/>
  <c r="P42" i="5"/>
  <c r="J42" i="5"/>
  <c r="D42" i="5"/>
  <c r="V41" i="5"/>
  <c r="P41" i="5"/>
  <c r="J41" i="5"/>
  <c r="D41" i="5"/>
  <c r="V40" i="5"/>
  <c r="P40" i="5"/>
  <c r="J40" i="5"/>
  <c r="D40" i="5"/>
  <c r="V39" i="5"/>
  <c r="P39" i="5"/>
  <c r="J39" i="5"/>
  <c r="D39" i="5"/>
  <c r="V38" i="5"/>
  <c r="P38" i="5"/>
  <c r="J38" i="5"/>
  <c r="D38" i="5"/>
  <c r="V37" i="5"/>
  <c r="P37" i="5"/>
  <c r="J37" i="5"/>
  <c r="D37" i="5"/>
  <c r="Z36" i="5"/>
  <c r="Y36" i="5"/>
  <c r="X36" i="5"/>
  <c r="W36" i="5"/>
  <c r="V36" i="5"/>
  <c r="T36" i="5"/>
  <c r="S36" i="5"/>
  <c r="R36" i="5"/>
  <c r="Q36" i="5"/>
  <c r="P36" i="5"/>
  <c r="N36" i="5"/>
  <c r="M36" i="5"/>
  <c r="L36" i="5"/>
  <c r="K36" i="5"/>
  <c r="J36" i="5"/>
  <c r="H36" i="5"/>
  <c r="G36" i="5"/>
  <c r="F36" i="5"/>
  <c r="E36" i="5"/>
  <c r="D36" i="5"/>
  <c r="V35" i="5"/>
  <c r="P35" i="5"/>
  <c r="J35" i="5"/>
  <c r="D35" i="5"/>
  <c r="V34" i="5"/>
  <c r="P34" i="5"/>
  <c r="J34" i="5"/>
  <c r="D34" i="5"/>
  <c r="V33" i="5"/>
  <c r="P33" i="5"/>
  <c r="J33" i="5"/>
  <c r="D33" i="5"/>
  <c r="V32" i="5"/>
  <c r="P32" i="5"/>
  <c r="J32" i="5"/>
  <c r="D32" i="5"/>
  <c r="V31" i="5"/>
  <c r="P31" i="5"/>
  <c r="J31" i="5"/>
  <c r="D31" i="5"/>
  <c r="V30" i="5"/>
  <c r="P30" i="5"/>
  <c r="J30" i="5"/>
  <c r="D30" i="5"/>
  <c r="Z29" i="5"/>
  <c r="Y29" i="5"/>
  <c r="X29" i="5"/>
  <c r="W29" i="5"/>
  <c r="V29" i="5"/>
  <c r="T29" i="5"/>
  <c r="S29" i="5"/>
  <c r="R29" i="5"/>
  <c r="Q29" i="5"/>
  <c r="P29" i="5"/>
  <c r="N29" i="5"/>
  <c r="M29" i="5"/>
  <c r="L29" i="5"/>
  <c r="K29" i="5"/>
  <c r="J29" i="5"/>
  <c r="H29" i="5"/>
  <c r="G29" i="5"/>
  <c r="F29" i="5"/>
  <c r="E29" i="5"/>
  <c r="D29" i="5"/>
  <c r="Z28" i="5"/>
  <c r="Z49" i="5" s="1"/>
  <c r="Z63" i="5" s="1"/>
  <c r="Y28" i="5"/>
  <c r="Y49" i="5" s="1"/>
  <c r="Y63" i="5" s="1"/>
  <c r="X28" i="5"/>
  <c r="X49" i="5" s="1"/>
  <c r="X63" i="5" s="1"/>
  <c r="W28" i="5"/>
  <c r="W49" i="5" s="1"/>
  <c r="W63" i="5" s="1"/>
  <c r="V28" i="5"/>
  <c r="T28" i="5"/>
  <c r="T49" i="5" s="1"/>
  <c r="T63" i="5" s="1"/>
  <c r="S28" i="5"/>
  <c r="S49" i="5" s="1"/>
  <c r="S63" i="5" s="1"/>
  <c r="R28" i="5"/>
  <c r="R49" i="5" s="1"/>
  <c r="R63" i="5" s="1"/>
  <c r="Q28" i="5"/>
  <c r="Q49" i="5" s="1"/>
  <c r="Q63" i="5" s="1"/>
  <c r="P28" i="5"/>
  <c r="N28" i="5"/>
  <c r="N49" i="5" s="1"/>
  <c r="N63" i="5" s="1"/>
  <c r="M28" i="5"/>
  <c r="M49" i="5" s="1"/>
  <c r="M63" i="5" s="1"/>
  <c r="L28" i="5"/>
  <c r="L49" i="5" s="1"/>
  <c r="L63" i="5" s="1"/>
  <c r="K28" i="5"/>
  <c r="K49" i="5" s="1"/>
  <c r="K63" i="5" s="1"/>
  <c r="J28" i="5"/>
  <c r="H28" i="5"/>
  <c r="H49" i="5" s="1"/>
  <c r="H63" i="5" s="1"/>
  <c r="G28" i="5"/>
  <c r="G49" i="5" s="1"/>
  <c r="G63" i="5" s="1"/>
  <c r="F28" i="5"/>
  <c r="F49" i="5" s="1"/>
  <c r="F63" i="5" s="1"/>
  <c r="E28" i="5"/>
  <c r="E49" i="5" s="1"/>
  <c r="E63" i="5" s="1"/>
  <c r="D28" i="5"/>
  <c r="Z27" i="5"/>
  <c r="Z48" i="5" s="1"/>
  <c r="Z62" i="5" s="1"/>
  <c r="Y27" i="5"/>
  <c r="Y48" i="5" s="1"/>
  <c r="Y62" i="5" s="1"/>
  <c r="X27" i="5"/>
  <c r="X48" i="5" s="1"/>
  <c r="X62" i="5" s="1"/>
  <c r="W27" i="5"/>
  <c r="W48" i="5" s="1"/>
  <c r="W62" i="5" s="1"/>
  <c r="V27" i="5"/>
  <c r="T27" i="5"/>
  <c r="T48" i="5" s="1"/>
  <c r="T62" i="5" s="1"/>
  <c r="S27" i="5"/>
  <c r="S48" i="5" s="1"/>
  <c r="S62" i="5" s="1"/>
  <c r="R27" i="5"/>
  <c r="R48" i="5" s="1"/>
  <c r="R62" i="5" s="1"/>
  <c r="Q27" i="5"/>
  <c r="Q48" i="5" s="1"/>
  <c r="Q62" i="5" s="1"/>
  <c r="P27" i="5"/>
  <c r="N27" i="5"/>
  <c r="N48" i="5" s="1"/>
  <c r="N62" i="5" s="1"/>
  <c r="M27" i="5"/>
  <c r="M48" i="5" s="1"/>
  <c r="M62" i="5" s="1"/>
  <c r="L27" i="5"/>
  <c r="L48" i="5" s="1"/>
  <c r="L62" i="5" s="1"/>
  <c r="K27" i="5"/>
  <c r="K48" i="5" s="1"/>
  <c r="K62" i="5" s="1"/>
  <c r="J27" i="5"/>
  <c r="H27" i="5"/>
  <c r="H48" i="5" s="1"/>
  <c r="H62" i="5" s="1"/>
  <c r="G27" i="5"/>
  <c r="G48" i="5" s="1"/>
  <c r="G62" i="5" s="1"/>
  <c r="F27" i="5"/>
  <c r="F48" i="5" s="1"/>
  <c r="F62" i="5" s="1"/>
  <c r="E27" i="5"/>
  <c r="E48" i="5" s="1"/>
  <c r="E62" i="5" s="1"/>
  <c r="D27" i="5"/>
  <c r="Z26" i="5"/>
  <c r="Z47" i="5" s="1"/>
  <c r="Z61" i="5" s="1"/>
  <c r="Y26" i="5"/>
  <c r="Y47" i="5" s="1"/>
  <c r="Y61" i="5" s="1"/>
  <c r="X26" i="5"/>
  <c r="X47" i="5" s="1"/>
  <c r="X61" i="5" s="1"/>
  <c r="W26" i="5"/>
  <c r="W47" i="5" s="1"/>
  <c r="W61" i="5" s="1"/>
  <c r="V26" i="5"/>
  <c r="T26" i="5"/>
  <c r="T47" i="5" s="1"/>
  <c r="T61" i="5" s="1"/>
  <c r="S26" i="5"/>
  <c r="S47" i="5" s="1"/>
  <c r="S61" i="5" s="1"/>
  <c r="R26" i="5"/>
  <c r="R47" i="5" s="1"/>
  <c r="R61" i="5" s="1"/>
  <c r="Q26" i="5"/>
  <c r="Q47" i="5" s="1"/>
  <c r="Q61" i="5" s="1"/>
  <c r="P26" i="5"/>
  <c r="N26" i="5"/>
  <c r="N47" i="5" s="1"/>
  <c r="N61" i="5" s="1"/>
  <c r="M26" i="5"/>
  <c r="M47" i="5" s="1"/>
  <c r="M61" i="5" s="1"/>
  <c r="L26" i="5"/>
  <c r="L47" i="5" s="1"/>
  <c r="L61" i="5" s="1"/>
  <c r="K26" i="5"/>
  <c r="K47" i="5" s="1"/>
  <c r="K61" i="5" s="1"/>
  <c r="J26" i="5"/>
  <c r="H26" i="5"/>
  <c r="H47" i="5" s="1"/>
  <c r="H61" i="5" s="1"/>
  <c r="G26" i="5"/>
  <c r="G47" i="5" s="1"/>
  <c r="G61" i="5" s="1"/>
  <c r="F26" i="5"/>
  <c r="F47" i="5" s="1"/>
  <c r="F61" i="5" s="1"/>
  <c r="E26" i="5"/>
  <c r="E47" i="5" s="1"/>
  <c r="E61" i="5" s="1"/>
  <c r="D26" i="5"/>
  <c r="Z25" i="5"/>
  <c r="Z46" i="5" s="1"/>
  <c r="Z60" i="5" s="1"/>
  <c r="Y25" i="5"/>
  <c r="Y46" i="5" s="1"/>
  <c r="Y60" i="5" s="1"/>
  <c r="X25" i="5"/>
  <c r="X46" i="5" s="1"/>
  <c r="X60" i="5" s="1"/>
  <c r="W25" i="5"/>
  <c r="W46" i="5" s="1"/>
  <c r="W60" i="5" s="1"/>
  <c r="V25" i="5"/>
  <c r="T25" i="5"/>
  <c r="T46" i="5" s="1"/>
  <c r="T60" i="5" s="1"/>
  <c r="S25" i="5"/>
  <c r="S46" i="5" s="1"/>
  <c r="S60" i="5" s="1"/>
  <c r="R25" i="5"/>
  <c r="R46" i="5" s="1"/>
  <c r="R60" i="5" s="1"/>
  <c r="Q25" i="5"/>
  <c r="Q46" i="5" s="1"/>
  <c r="Q60" i="5" s="1"/>
  <c r="P25" i="5"/>
  <c r="N25" i="5"/>
  <c r="N46" i="5" s="1"/>
  <c r="N60" i="5" s="1"/>
  <c r="M25" i="5"/>
  <c r="M46" i="5" s="1"/>
  <c r="M60" i="5" s="1"/>
  <c r="L25" i="5"/>
  <c r="L46" i="5" s="1"/>
  <c r="L60" i="5" s="1"/>
  <c r="K25" i="5"/>
  <c r="K46" i="5" s="1"/>
  <c r="K60" i="5" s="1"/>
  <c r="J25" i="5"/>
  <c r="H25" i="5"/>
  <c r="H46" i="5" s="1"/>
  <c r="H60" i="5" s="1"/>
  <c r="G25" i="5"/>
  <c r="G46" i="5" s="1"/>
  <c r="G60" i="5" s="1"/>
  <c r="F25" i="5"/>
  <c r="F46" i="5" s="1"/>
  <c r="F60" i="5" s="1"/>
  <c r="E25" i="5"/>
  <c r="E46" i="5" s="1"/>
  <c r="E60" i="5" s="1"/>
  <c r="D25" i="5"/>
  <c r="Z24" i="5"/>
  <c r="Z45" i="5" s="1"/>
  <c r="Z59" i="5" s="1"/>
  <c r="Y24" i="5"/>
  <c r="Y45" i="5" s="1"/>
  <c r="Y59" i="5" s="1"/>
  <c r="X24" i="5"/>
  <c r="X45" i="5" s="1"/>
  <c r="X59" i="5" s="1"/>
  <c r="W24" i="5"/>
  <c r="W45" i="5" s="1"/>
  <c r="W59" i="5" s="1"/>
  <c r="V24" i="5"/>
  <c r="T24" i="5"/>
  <c r="T45" i="5" s="1"/>
  <c r="T59" i="5" s="1"/>
  <c r="S24" i="5"/>
  <c r="S45" i="5" s="1"/>
  <c r="S59" i="5" s="1"/>
  <c r="R24" i="5"/>
  <c r="R45" i="5" s="1"/>
  <c r="R59" i="5" s="1"/>
  <c r="Q24" i="5"/>
  <c r="Q45" i="5" s="1"/>
  <c r="Q59" i="5" s="1"/>
  <c r="P24" i="5"/>
  <c r="N24" i="5"/>
  <c r="N45" i="5" s="1"/>
  <c r="N59" i="5" s="1"/>
  <c r="M24" i="5"/>
  <c r="M45" i="5" s="1"/>
  <c r="M59" i="5" s="1"/>
  <c r="L24" i="5"/>
  <c r="L45" i="5" s="1"/>
  <c r="L59" i="5" s="1"/>
  <c r="K24" i="5"/>
  <c r="K45" i="5" s="1"/>
  <c r="K59" i="5" s="1"/>
  <c r="J24" i="5"/>
  <c r="H24" i="5"/>
  <c r="H45" i="5" s="1"/>
  <c r="H59" i="5" s="1"/>
  <c r="G24" i="5"/>
  <c r="G45" i="5" s="1"/>
  <c r="G59" i="5" s="1"/>
  <c r="F24" i="5"/>
  <c r="F45" i="5" s="1"/>
  <c r="F59" i="5" s="1"/>
  <c r="E24" i="5"/>
  <c r="E45" i="5" s="1"/>
  <c r="E59" i="5" s="1"/>
  <c r="D24" i="5"/>
  <c r="Z23" i="5"/>
  <c r="Z44" i="5" s="1"/>
  <c r="Y23" i="5"/>
  <c r="Y44" i="5" s="1"/>
  <c r="X23" i="5"/>
  <c r="X44" i="5" s="1"/>
  <c r="W23" i="5"/>
  <c r="W44" i="5" s="1"/>
  <c r="V23" i="5"/>
  <c r="T23" i="5"/>
  <c r="T44" i="5" s="1"/>
  <c r="S23" i="5"/>
  <c r="S44" i="5" s="1"/>
  <c r="R23" i="5"/>
  <c r="R44" i="5" s="1"/>
  <c r="Q23" i="5"/>
  <c r="Q44" i="5" s="1"/>
  <c r="P23" i="5"/>
  <c r="N23" i="5"/>
  <c r="N44" i="5" s="1"/>
  <c r="M23" i="5"/>
  <c r="M44" i="5" s="1"/>
  <c r="L23" i="5"/>
  <c r="L44" i="5" s="1"/>
  <c r="K23" i="5"/>
  <c r="K44" i="5" s="1"/>
  <c r="J23" i="5"/>
  <c r="H23" i="5"/>
  <c r="H44" i="5" s="1"/>
  <c r="G23" i="5"/>
  <c r="G44" i="5" s="1"/>
  <c r="F23" i="5"/>
  <c r="F44" i="5" s="1"/>
  <c r="E23" i="5"/>
  <c r="E44" i="5" s="1"/>
  <c r="D23" i="5"/>
  <c r="Z22" i="5"/>
  <c r="Y22" i="5"/>
  <c r="X22" i="5"/>
  <c r="W22" i="5"/>
  <c r="V22" i="5"/>
  <c r="T22" i="5"/>
  <c r="S22" i="5"/>
  <c r="R22" i="5"/>
  <c r="Q22" i="5"/>
  <c r="P22" i="5"/>
  <c r="N22" i="5"/>
  <c r="M22" i="5"/>
  <c r="L22" i="5"/>
  <c r="K22" i="5"/>
  <c r="J22" i="5"/>
  <c r="H22" i="5"/>
  <c r="G22" i="5"/>
  <c r="F22" i="5"/>
  <c r="E22" i="5"/>
  <c r="D22" i="5"/>
  <c r="V21" i="5"/>
  <c r="V49" i="5" s="1"/>
  <c r="V63" i="5" s="1"/>
  <c r="P21" i="5"/>
  <c r="P49" i="5" s="1"/>
  <c r="P63" i="5" s="1"/>
  <c r="J21" i="5"/>
  <c r="J49" i="5" s="1"/>
  <c r="J63" i="5" s="1"/>
  <c r="D21" i="5"/>
  <c r="D49" i="5" s="1"/>
  <c r="D63" i="5" s="1"/>
  <c r="V20" i="5"/>
  <c r="V48" i="5" s="1"/>
  <c r="V62" i="5" s="1"/>
  <c r="P20" i="5"/>
  <c r="P48" i="5" s="1"/>
  <c r="P62" i="5" s="1"/>
  <c r="J20" i="5"/>
  <c r="J48" i="5" s="1"/>
  <c r="J62" i="5" s="1"/>
  <c r="D20" i="5"/>
  <c r="D48" i="5" s="1"/>
  <c r="D62" i="5" s="1"/>
  <c r="V19" i="5"/>
  <c r="V47" i="5" s="1"/>
  <c r="V61" i="5" s="1"/>
  <c r="P19" i="5"/>
  <c r="P47" i="5" s="1"/>
  <c r="P61" i="5" s="1"/>
  <c r="J19" i="5"/>
  <c r="J47" i="5" s="1"/>
  <c r="J61" i="5" s="1"/>
  <c r="D19" i="5"/>
  <c r="D47" i="5" s="1"/>
  <c r="D61" i="5" s="1"/>
  <c r="V18" i="5"/>
  <c r="V46" i="5" s="1"/>
  <c r="V60" i="5" s="1"/>
  <c r="P18" i="5"/>
  <c r="P46" i="5" s="1"/>
  <c r="P60" i="5" s="1"/>
  <c r="J18" i="5"/>
  <c r="J46" i="5" s="1"/>
  <c r="J60" i="5" s="1"/>
  <c r="D18" i="5"/>
  <c r="D46" i="5" s="1"/>
  <c r="D60" i="5" s="1"/>
  <c r="V17" i="5"/>
  <c r="V45" i="5" s="1"/>
  <c r="V59" i="5" s="1"/>
  <c r="P17" i="5"/>
  <c r="P45" i="5" s="1"/>
  <c r="P59" i="5" s="1"/>
  <c r="J17" i="5"/>
  <c r="J45" i="5" s="1"/>
  <c r="J59" i="5" s="1"/>
  <c r="D17" i="5"/>
  <c r="D45" i="5" s="1"/>
  <c r="D59" i="5" s="1"/>
  <c r="V16" i="5"/>
  <c r="V44" i="5" s="1"/>
  <c r="V58" i="5" s="1"/>
  <c r="P16" i="5"/>
  <c r="P44" i="5" s="1"/>
  <c r="P58" i="5" s="1"/>
  <c r="J16" i="5"/>
  <c r="J44" i="5" s="1"/>
  <c r="J58" i="5" s="1"/>
  <c r="D16" i="5"/>
  <c r="D44" i="5" s="1"/>
  <c r="D58" i="5" s="1"/>
  <c r="Z15" i="5"/>
  <c r="Y15" i="5"/>
  <c r="X15" i="5"/>
  <c r="W15" i="5"/>
  <c r="V15" i="5"/>
  <c r="T15" i="5"/>
  <c r="S15" i="5"/>
  <c r="R15" i="5"/>
  <c r="Q15" i="5"/>
  <c r="P15" i="5"/>
  <c r="N15" i="5"/>
  <c r="M15" i="5"/>
  <c r="L15" i="5"/>
  <c r="K15" i="5"/>
  <c r="J15" i="5"/>
  <c r="H15" i="5"/>
  <c r="G15" i="5"/>
  <c r="F15" i="5"/>
  <c r="E15" i="5"/>
  <c r="D15" i="5"/>
  <c r="V14" i="5"/>
  <c r="P14" i="5"/>
  <c r="J14" i="5"/>
  <c r="D14" i="5"/>
  <c r="V13" i="5"/>
  <c r="P13" i="5"/>
  <c r="J13" i="5"/>
  <c r="D13" i="5"/>
  <c r="Z12" i="5"/>
  <c r="Z14" i="5" s="1"/>
  <c r="Y12" i="5"/>
  <c r="Y14" i="5" s="1"/>
  <c r="X12" i="5"/>
  <c r="X14" i="5" s="1"/>
  <c r="W12" i="5"/>
  <c r="W14" i="5" s="1"/>
  <c r="V12" i="5"/>
  <c r="T12" i="5"/>
  <c r="T14" i="5" s="1"/>
  <c r="S12" i="5"/>
  <c r="S14" i="5" s="1"/>
  <c r="R12" i="5"/>
  <c r="R14" i="5" s="1"/>
  <c r="Q12" i="5"/>
  <c r="Q14" i="5" s="1"/>
  <c r="P12" i="5"/>
  <c r="N12" i="5"/>
  <c r="N14" i="5" s="1"/>
  <c r="M12" i="5"/>
  <c r="M14" i="5" s="1"/>
  <c r="L12" i="5"/>
  <c r="L14" i="5" s="1"/>
  <c r="K12" i="5"/>
  <c r="K14" i="5" s="1"/>
  <c r="J12" i="5"/>
  <c r="H12" i="5"/>
  <c r="H14" i="5" s="1"/>
  <c r="G12" i="5"/>
  <c r="G14" i="5" s="1"/>
  <c r="F12" i="5"/>
  <c r="F14" i="5" s="1"/>
  <c r="E12" i="5"/>
  <c r="E14" i="5" s="1"/>
  <c r="D12" i="5"/>
  <c r="V64" i="3"/>
  <c r="P64" i="3"/>
  <c r="J64" i="3"/>
  <c r="D64" i="3"/>
  <c r="V56" i="3"/>
  <c r="P56" i="3"/>
  <c r="J56" i="3"/>
  <c r="D56" i="3"/>
  <c r="V55" i="3"/>
  <c r="P55" i="3"/>
  <c r="J55" i="3"/>
  <c r="D55" i="3"/>
  <c r="V54" i="3"/>
  <c r="P54" i="3"/>
  <c r="J54" i="3"/>
  <c r="D54" i="3"/>
  <c r="V53" i="3"/>
  <c r="P53" i="3"/>
  <c r="J53" i="3"/>
  <c r="D53" i="3"/>
  <c r="V52" i="3"/>
  <c r="P52" i="3"/>
  <c r="J52" i="3"/>
  <c r="D52" i="3"/>
  <c r="V51" i="3"/>
  <c r="P51" i="3"/>
  <c r="J51" i="3"/>
  <c r="D51" i="3"/>
  <c r="V43" i="3"/>
  <c r="V65" i="3" s="1"/>
  <c r="V66" i="3" s="1"/>
  <c r="P43" i="3"/>
  <c r="P65" i="3" s="1"/>
  <c r="P66" i="3" s="1"/>
  <c r="J43" i="3"/>
  <c r="J65" i="3" s="1"/>
  <c r="J66" i="3" s="1"/>
  <c r="D43" i="3"/>
  <c r="D65" i="3" s="1"/>
  <c r="D66" i="3" s="1"/>
  <c r="V42" i="3"/>
  <c r="P42" i="3"/>
  <c r="J42" i="3"/>
  <c r="D42" i="3"/>
  <c r="V41" i="3"/>
  <c r="P41" i="3"/>
  <c r="J41" i="3"/>
  <c r="D41" i="3"/>
  <c r="V40" i="3"/>
  <c r="P40" i="3"/>
  <c r="J40" i="3"/>
  <c r="D40" i="3"/>
  <c r="V39" i="3"/>
  <c r="P39" i="3"/>
  <c r="J39" i="3"/>
  <c r="D39" i="3"/>
  <c r="V38" i="3"/>
  <c r="P38" i="3"/>
  <c r="J38" i="3"/>
  <c r="D38" i="3"/>
  <c r="V37" i="3"/>
  <c r="P37" i="3"/>
  <c r="J37" i="3"/>
  <c r="D37" i="3"/>
  <c r="Z36" i="3"/>
  <c r="Y36" i="3"/>
  <c r="X36" i="3"/>
  <c r="W36" i="3"/>
  <c r="V36" i="3"/>
  <c r="T36" i="3"/>
  <c r="S36" i="3"/>
  <c r="R36" i="3"/>
  <c r="Q36" i="3"/>
  <c r="P36" i="3"/>
  <c r="N36" i="3"/>
  <c r="M36" i="3"/>
  <c r="L36" i="3"/>
  <c r="K36" i="3"/>
  <c r="J36" i="3"/>
  <c r="H36" i="3"/>
  <c r="G36" i="3"/>
  <c r="F36" i="3"/>
  <c r="E36" i="3"/>
  <c r="D36" i="3"/>
  <c r="V35" i="3"/>
  <c r="P35" i="3"/>
  <c r="J35" i="3"/>
  <c r="D35" i="3"/>
  <c r="V34" i="3"/>
  <c r="P34" i="3"/>
  <c r="J34" i="3"/>
  <c r="D34" i="3"/>
  <c r="V33" i="3"/>
  <c r="P33" i="3"/>
  <c r="J33" i="3"/>
  <c r="D33" i="3"/>
  <c r="V32" i="3"/>
  <c r="P32" i="3"/>
  <c r="J32" i="3"/>
  <c r="D32" i="3"/>
  <c r="V31" i="3"/>
  <c r="P31" i="3"/>
  <c r="J31" i="3"/>
  <c r="D31" i="3"/>
  <c r="V30" i="3"/>
  <c r="P30" i="3"/>
  <c r="J30" i="3"/>
  <c r="D30" i="3"/>
  <c r="Z29" i="3"/>
  <c r="Y29" i="3"/>
  <c r="X29" i="3"/>
  <c r="W29" i="3"/>
  <c r="V29" i="3"/>
  <c r="T29" i="3"/>
  <c r="S29" i="3"/>
  <c r="R29" i="3"/>
  <c r="Q29" i="3"/>
  <c r="P29" i="3"/>
  <c r="N29" i="3"/>
  <c r="M29" i="3"/>
  <c r="L29" i="3"/>
  <c r="K29" i="3"/>
  <c r="J29" i="3"/>
  <c r="H29" i="3"/>
  <c r="G29" i="3"/>
  <c r="F29" i="3"/>
  <c r="E29" i="3"/>
  <c r="D29" i="3"/>
  <c r="Z28" i="3"/>
  <c r="Z49" i="3" s="1"/>
  <c r="Z63" i="3" s="1"/>
  <c r="Y28" i="3"/>
  <c r="Y49" i="3" s="1"/>
  <c r="Y63" i="3" s="1"/>
  <c r="X28" i="3"/>
  <c r="X49" i="3" s="1"/>
  <c r="X63" i="3" s="1"/>
  <c r="W28" i="3"/>
  <c r="W49" i="3" s="1"/>
  <c r="W63" i="3" s="1"/>
  <c r="V28" i="3"/>
  <c r="T28" i="3"/>
  <c r="T49" i="3" s="1"/>
  <c r="T63" i="3" s="1"/>
  <c r="S28" i="3"/>
  <c r="S49" i="3" s="1"/>
  <c r="S63" i="3" s="1"/>
  <c r="R28" i="3"/>
  <c r="R49" i="3" s="1"/>
  <c r="R63" i="3" s="1"/>
  <c r="Q28" i="3"/>
  <c r="Q49" i="3" s="1"/>
  <c r="Q63" i="3" s="1"/>
  <c r="P28" i="3"/>
  <c r="N28" i="3"/>
  <c r="N49" i="3" s="1"/>
  <c r="N63" i="3" s="1"/>
  <c r="M28" i="3"/>
  <c r="M49" i="3" s="1"/>
  <c r="M63" i="3" s="1"/>
  <c r="L28" i="3"/>
  <c r="L49" i="3" s="1"/>
  <c r="L63" i="3" s="1"/>
  <c r="K28" i="3"/>
  <c r="K49" i="3" s="1"/>
  <c r="K63" i="3" s="1"/>
  <c r="J28" i="3"/>
  <c r="H28" i="3"/>
  <c r="H49" i="3" s="1"/>
  <c r="H63" i="3" s="1"/>
  <c r="G28" i="3"/>
  <c r="G49" i="3" s="1"/>
  <c r="G63" i="3" s="1"/>
  <c r="F28" i="3"/>
  <c r="F49" i="3" s="1"/>
  <c r="F63" i="3" s="1"/>
  <c r="E28" i="3"/>
  <c r="E49" i="3" s="1"/>
  <c r="E63" i="3" s="1"/>
  <c r="D28" i="3"/>
  <c r="Z27" i="3"/>
  <c r="Z48" i="3" s="1"/>
  <c r="Z62" i="3" s="1"/>
  <c r="Y27" i="3"/>
  <c r="Y48" i="3" s="1"/>
  <c r="Y62" i="3" s="1"/>
  <c r="X27" i="3"/>
  <c r="X48" i="3" s="1"/>
  <c r="X62" i="3" s="1"/>
  <c r="W27" i="3"/>
  <c r="W48" i="3" s="1"/>
  <c r="W62" i="3" s="1"/>
  <c r="V27" i="3"/>
  <c r="T27" i="3"/>
  <c r="T48" i="3" s="1"/>
  <c r="T62" i="3" s="1"/>
  <c r="S27" i="3"/>
  <c r="S48" i="3" s="1"/>
  <c r="S62" i="3" s="1"/>
  <c r="R27" i="3"/>
  <c r="R48" i="3" s="1"/>
  <c r="R62" i="3" s="1"/>
  <c r="Q27" i="3"/>
  <c r="Q48" i="3" s="1"/>
  <c r="Q62" i="3" s="1"/>
  <c r="P27" i="3"/>
  <c r="N27" i="3"/>
  <c r="N48" i="3" s="1"/>
  <c r="N62" i="3" s="1"/>
  <c r="M27" i="3"/>
  <c r="M48" i="3" s="1"/>
  <c r="M62" i="3" s="1"/>
  <c r="L27" i="3"/>
  <c r="L48" i="3" s="1"/>
  <c r="L62" i="3" s="1"/>
  <c r="K27" i="3"/>
  <c r="K48" i="3" s="1"/>
  <c r="K62" i="3" s="1"/>
  <c r="J27" i="3"/>
  <c r="H27" i="3"/>
  <c r="H48" i="3" s="1"/>
  <c r="H62" i="3" s="1"/>
  <c r="G27" i="3"/>
  <c r="G48" i="3" s="1"/>
  <c r="G62" i="3" s="1"/>
  <c r="F27" i="3"/>
  <c r="F48" i="3" s="1"/>
  <c r="F62" i="3" s="1"/>
  <c r="E27" i="3"/>
  <c r="E48" i="3" s="1"/>
  <c r="E62" i="3" s="1"/>
  <c r="D27" i="3"/>
  <c r="Z26" i="3"/>
  <c r="Z47" i="3" s="1"/>
  <c r="Z61" i="3" s="1"/>
  <c r="Y26" i="3"/>
  <c r="Y47" i="3" s="1"/>
  <c r="Y61" i="3" s="1"/>
  <c r="X26" i="3"/>
  <c r="X47" i="3" s="1"/>
  <c r="X61" i="3" s="1"/>
  <c r="W26" i="3"/>
  <c r="W47" i="3" s="1"/>
  <c r="W61" i="3" s="1"/>
  <c r="V26" i="3"/>
  <c r="T26" i="3"/>
  <c r="T47" i="3" s="1"/>
  <c r="T61" i="3" s="1"/>
  <c r="S26" i="3"/>
  <c r="S47" i="3" s="1"/>
  <c r="S61" i="3" s="1"/>
  <c r="R26" i="3"/>
  <c r="R47" i="3" s="1"/>
  <c r="R61" i="3" s="1"/>
  <c r="Q26" i="3"/>
  <c r="Q47" i="3" s="1"/>
  <c r="Q61" i="3" s="1"/>
  <c r="P26" i="3"/>
  <c r="N26" i="3"/>
  <c r="N47" i="3" s="1"/>
  <c r="N61" i="3" s="1"/>
  <c r="M26" i="3"/>
  <c r="M47" i="3" s="1"/>
  <c r="M61" i="3" s="1"/>
  <c r="L26" i="3"/>
  <c r="L47" i="3" s="1"/>
  <c r="L61" i="3" s="1"/>
  <c r="K26" i="3"/>
  <c r="K47" i="3" s="1"/>
  <c r="K61" i="3" s="1"/>
  <c r="J26" i="3"/>
  <c r="H26" i="3"/>
  <c r="H47" i="3" s="1"/>
  <c r="H61" i="3" s="1"/>
  <c r="G26" i="3"/>
  <c r="G47" i="3" s="1"/>
  <c r="G61" i="3" s="1"/>
  <c r="F26" i="3"/>
  <c r="F47" i="3" s="1"/>
  <c r="F61" i="3" s="1"/>
  <c r="E26" i="3"/>
  <c r="E47" i="3" s="1"/>
  <c r="E61" i="3" s="1"/>
  <c r="D26" i="3"/>
  <c r="Z25" i="3"/>
  <c r="Z46" i="3" s="1"/>
  <c r="Z60" i="3" s="1"/>
  <c r="Y25" i="3"/>
  <c r="Y46" i="3" s="1"/>
  <c r="Y60" i="3" s="1"/>
  <c r="X25" i="3"/>
  <c r="X46" i="3" s="1"/>
  <c r="X60" i="3" s="1"/>
  <c r="W25" i="3"/>
  <c r="W46" i="3" s="1"/>
  <c r="W60" i="3" s="1"/>
  <c r="V25" i="3"/>
  <c r="T25" i="3"/>
  <c r="T46" i="3" s="1"/>
  <c r="T60" i="3" s="1"/>
  <c r="S25" i="3"/>
  <c r="S46" i="3" s="1"/>
  <c r="S60" i="3" s="1"/>
  <c r="R25" i="3"/>
  <c r="R46" i="3" s="1"/>
  <c r="R60" i="3" s="1"/>
  <c r="Q25" i="3"/>
  <c r="Q46" i="3" s="1"/>
  <c r="Q60" i="3" s="1"/>
  <c r="P25" i="3"/>
  <c r="N25" i="3"/>
  <c r="N46" i="3" s="1"/>
  <c r="N60" i="3" s="1"/>
  <c r="M25" i="3"/>
  <c r="M46" i="3" s="1"/>
  <c r="M60" i="3" s="1"/>
  <c r="L25" i="3"/>
  <c r="L46" i="3" s="1"/>
  <c r="L60" i="3" s="1"/>
  <c r="K25" i="3"/>
  <c r="K46" i="3" s="1"/>
  <c r="K60" i="3" s="1"/>
  <c r="J25" i="3"/>
  <c r="H25" i="3"/>
  <c r="H46" i="3" s="1"/>
  <c r="H60" i="3" s="1"/>
  <c r="G25" i="3"/>
  <c r="G46" i="3" s="1"/>
  <c r="G60" i="3" s="1"/>
  <c r="F25" i="3"/>
  <c r="F46" i="3" s="1"/>
  <c r="F60" i="3" s="1"/>
  <c r="E25" i="3"/>
  <c r="E46" i="3" s="1"/>
  <c r="E60" i="3" s="1"/>
  <c r="D25" i="3"/>
  <c r="Z24" i="3"/>
  <c r="Z45" i="3" s="1"/>
  <c r="Z59" i="3" s="1"/>
  <c r="Y24" i="3"/>
  <c r="Y45" i="3" s="1"/>
  <c r="Y59" i="3" s="1"/>
  <c r="X24" i="3"/>
  <c r="X45" i="3" s="1"/>
  <c r="X59" i="3" s="1"/>
  <c r="W24" i="3"/>
  <c r="W45" i="3" s="1"/>
  <c r="W59" i="3" s="1"/>
  <c r="V24" i="3"/>
  <c r="T24" i="3"/>
  <c r="T45" i="3" s="1"/>
  <c r="T59" i="3" s="1"/>
  <c r="S24" i="3"/>
  <c r="S45" i="3" s="1"/>
  <c r="S59" i="3" s="1"/>
  <c r="R24" i="3"/>
  <c r="R45" i="3" s="1"/>
  <c r="R59" i="3" s="1"/>
  <c r="Q24" i="3"/>
  <c r="Q45" i="3" s="1"/>
  <c r="Q59" i="3" s="1"/>
  <c r="P24" i="3"/>
  <c r="N24" i="3"/>
  <c r="N45" i="3" s="1"/>
  <c r="N59" i="3" s="1"/>
  <c r="M24" i="3"/>
  <c r="M45" i="3" s="1"/>
  <c r="M59" i="3" s="1"/>
  <c r="L24" i="3"/>
  <c r="L45" i="3" s="1"/>
  <c r="L59" i="3" s="1"/>
  <c r="K24" i="3"/>
  <c r="K45" i="3" s="1"/>
  <c r="K59" i="3" s="1"/>
  <c r="J24" i="3"/>
  <c r="H24" i="3"/>
  <c r="H45" i="3" s="1"/>
  <c r="H59" i="3" s="1"/>
  <c r="G24" i="3"/>
  <c r="G45" i="3" s="1"/>
  <c r="G59" i="3" s="1"/>
  <c r="F24" i="3"/>
  <c r="F45" i="3" s="1"/>
  <c r="F59" i="3" s="1"/>
  <c r="E24" i="3"/>
  <c r="E45" i="3" s="1"/>
  <c r="E59" i="3" s="1"/>
  <c r="D24" i="3"/>
  <c r="Z23" i="3"/>
  <c r="Z44" i="3" s="1"/>
  <c r="Y23" i="3"/>
  <c r="Y44" i="3" s="1"/>
  <c r="X23" i="3"/>
  <c r="X44" i="3" s="1"/>
  <c r="W23" i="3"/>
  <c r="W44" i="3" s="1"/>
  <c r="V23" i="3"/>
  <c r="T23" i="3"/>
  <c r="T44" i="3" s="1"/>
  <c r="S23" i="3"/>
  <c r="S44" i="3" s="1"/>
  <c r="R23" i="3"/>
  <c r="R44" i="3" s="1"/>
  <c r="Q23" i="3"/>
  <c r="Q44" i="3" s="1"/>
  <c r="P23" i="3"/>
  <c r="N23" i="3"/>
  <c r="N44" i="3" s="1"/>
  <c r="M23" i="3"/>
  <c r="M44" i="3" s="1"/>
  <c r="L23" i="3"/>
  <c r="L44" i="3" s="1"/>
  <c r="K23" i="3"/>
  <c r="K44" i="3" s="1"/>
  <c r="J23" i="3"/>
  <c r="H23" i="3"/>
  <c r="H44" i="3" s="1"/>
  <c r="G23" i="3"/>
  <c r="G44" i="3" s="1"/>
  <c r="F23" i="3"/>
  <c r="F44" i="3" s="1"/>
  <c r="E23" i="3"/>
  <c r="E44" i="3" s="1"/>
  <c r="D23" i="3"/>
  <c r="Z22" i="3"/>
  <c r="Y22" i="3"/>
  <c r="X22" i="3"/>
  <c r="W22" i="3"/>
  <c r="V22" i="3"/>
  <c r="T22" i="3"/>
  <c r="S22" i="3"/>
  <c r="R22" i="3"/>
  <c r="Q22" i="3"/>
  <c r="P22" i="3"/>
  <c r="N22" i="3"/>
  <c r="M22" i="3"/>
  <c r="L22" i="3"/>
  <c r="K22" i="3"/>
  <c r="J22" i="3"/>
  <c r="H22" i="3"/>
  <c r="G22" i="3"/>
  <c r="F22" i="3"/>
  <c r="E22" i="3"/>
  <c r="D22" i="3"/>
  <c r="V21" i="3"/>
  <c r="V49" i="3" s="1"/>
  <c r="V63" i="3" s="1"/>
  <c r="P21" i="3"/>
  <c r="P49" i="3" s="1"/>
  <c r="P63" i="3" s="1"/>
  <c r="J21" i="3"/>
  <c r="J49" i="3" s="1"/>
  <c r="J63" i="3" s="1"/>
  <c r="D21" i="3"/>
  <c r="D49" i="3" s="1"/>
  <c r="D63" i="3" s="1"/>
  <c r="V20" i="3"/>
  <c r="V48" i="3" s="1"/>
  <c r="V62" i="3" s="1"/>
  <c r="P20" i="3"/>
  <c r="P48" i="3" s="1"/>
  <c r="P62" i="3" s="1"/>
  <c r="J20" i="3"/>
  <c r="J48" i="3" s="1"/>
  <c r="J62" i="3" s="1"/>
  <c r="D20" i="3"/>
  <c r="D48" i="3" s="1"/>
  <c r="D62" i="3" s="1"/>
  <c r="V19" i="3"/>
  <c r="V47" i="3" s="1"/>
  <c r="V61" i="3" s="1"/>
  <c r="P19" i="3"/>
  <c r="P47" i="3" s="1"/>
  <c r="P61" i="3" s="1"/>
  <c r="J19" i="3"/>
  <c r="J47" i="3" s="1"/>
  <c r="J61" i="3" s="1"/>
  <c r="D19" i="3"/>
  <c r="D47" i="3" s="1"/>
  <c r="D61" i="3" s="1"/>
  <c r="V18" i="3"/>
  <c r="V46" i="3" s="1"/>
  <c r="V60" i="3" s="1"/>
  <c r="P18" i="3"/>
  <c r="P46" i="3" s="1"/>
  <c r="P60" i="3" s="1"/>
  <c r="J18" i="3"/>
  <c r="J46" i="3" s="1"/>
  <c r="J60" i="3" s="1"/>
  <c r="D18" i="3"/>
  <c r="D46" i="3" s="1"/>
  <c r="D60" i="3" s="1"/>
  <c r="V17" i="3"/>
  <c r="V45" i="3" s="1"/>
  <c r="V59" i="3" s="1"/>
  <c r="P17" i="3"/>
  <c r="P45" i="3" s="1"/>
  <c r="P59" i="3" s="1"/>
  <c r="J17" i="3"/>
  <c r="J45" i="3" s="1"/>
  <c r="J59" i="3" s="1"/>
  <c r="D17" i="3"/>
  <c r="D45" i="3" s="1"/>
  <c r="D59" i="3" s="1"/>
  <c r="V16" i="3"/>
  <c r="V44" i="3" s="1"/>
  <c r="V58" i="3" s="1"/>
  <c r="P16" i="3"/>
  <c r="P44" i="3" s="1"/>
  <c r="P58" i="3" s="1"/>
  <c r="J16" i="3"/>
  <c r="J44" i="3" s="1"/>
  <c r="J58" i="3" s="1"/>
  <c r="D16" i="3"/>
  <c r="D44" i="3" s="1"/>
  <c r="D58" i="3" s="1"/>
  <c r="Z15" i="3"/>
  <c r="Y15" i="3"/>
  <c r="X15" i="3"/>
  <c r="W15" i="3"/>
  <c r="V15" i="3"/>
  <c r="T15" i="3"/>
  <c r="S15" i="3"/>
  <c r="R15" i="3"/>
  <c r="Q15" i="3"/>
  <c r="P15" i="3"/>
  <c r="N15" i="3"/>
  <c r="M15" i="3"/>
  <c r="L15" i="3"/>
  <c r="K15" i="3"/>
  <c r="J15" i="3"/>
  <c r="H15" i="3"/>
  <c r="G15" i="3"/>
  <c r="F15" i="3"/>
  <c r="E15" i="3"/>
  <c r="D15" i="3"/>
  <c r="Y14" i="3"/>
  <c r="V14" i="3"/>
  <c r="S14" i="3"/>
  <c r="P14" i="3"/>
  <c r="M14" i="3"/>
  <c r="J14" i="3"/>
  <c r="G14" i="3"/>
  <c r="D14" i="3"/>
  <c r="Y13" i="3"/>
  <c r="V13" i="3"/>
  <c r="S13" i="3"/>
  <c r="P13" i="3"/>
  <c r="M13" i="3"/>
  <c r="J13" i="3"/>
  <c r="G13" i="3"/>
  <c r="D13" i="3"/>
  <c r="Z12" i="3"/>
  <c r="Z14" i="3" s="1"/>
  <c r="Y12" i="3"/>
  <c r="X12" i="3"/>
  <c r="X14" i="3" s="1"/>
  <c r="W12" i="3"/>
  <c r="W14" i="3" s="1"/>
  <c r="V12" i="3"/>
  <c r="T12" i="3"/>
  <c r="T14" i="3" s="1"/>
  <c r="S12" i="3"/>
  <c r="R12" i="3"/>
  <c r="R14" i="3" s="1"/>
  <c r="Q12" i="3"/>
  <c r="Q14" i="3" s="1"/>
  <c r="P12" i="3"/>
  <c r="N12" i="3"/>
  <c r="N14" i="3" s="1"/>
  <c r="M12" i="3"/>
  <c r="L12" i="3"/>
  <c r="L14" i="3" s="1"/>
  <c r="K12" i="3"/>
  <c r="K14" i="3" s="1"/>
  <c r="J12" i="3"/>
  <c r="H12" i="3"/>
  <c r="H14" i="3" s="1"/>
  <c r="G12" i="3"/>
  <c r="F12" i="3"/>
  <c r="F14" i="3" s="1"/>
  <c r="E12" i="3"/>
  <c r="E14" i="3" s="1"/>
  <c r="D12" i="3"/>
  <c r="B1" i="2"/>
  <c r="AA64" i="6"/>
  <c r="O64" i="6"/>
  <c r="I64" i="6"/>
  <c r="U64" i="6"/>
  <c r="AA42" i="6"/>
  <c r="O42" i="6"/>
  <c r="AA41" i="6"/>
  <c r="O41" i="6"/>
  <c r="AA40" i="6"/>
  <c r="O40" i="6"/>
  <c r="AA39" i="6"/>
  <c r="O39" i="6"/>
  <c r="AA38" i="6"/>
  <c r="O38" i="6"/>
  <c r="AA37" i="6"/>
  <c r="O37" i="6"/>
  <c r="AA36" i="6"/>
  <c r="O36" i="6"/>
  <c r="AA35" i="6"/>
  <c r="O35" i="6"/>
  <c r="U42" i="6"/>
  <c r="I42" i="6"/>
  <c r="U41" i="6"/>
  <c r="I41" i="6"/>
  <c r="U40" i="6"/>
  <c r="I40" i="6"/>
  <c r="U39" i="6"/>
  <c r="I39" i="6"/>
  <c r="U38" i="6"/>
  <c r="I38" i="6"/>
  <c r="U37" i="6"/>
  <c r="I37" i="6"/>
  <c r="U36" i="6"/>
  <c r="I36" i="6"/>
  <c r="U35" i="6"/>
  <c r="I35" i="6"/>
  <c r="U34" i="6"/>
  <c r="I34" i="6"/>
  <c r="U33" i="6"/>
  <c r="I33" i="6"/>
  <c r="U32" i="6"/>
  <c r="I32" i="6"/>
  <c r="U31" i="6"/>
  <c r="I31" i="6"/>
  <c r="U30" i="6"/>
  <c r="I30" i="6"/>
  <c r="U28" i="6"/>
  <c r="I28" i="6"/>
  <c r="U27" i="6"/>
  <c r="I27" i="6"/>
  <c r="U26" i="6"/>
  <c r="I26" i="6"/>
  <c r="U25" i="6"/>
  <c r="I25" i="6"/>
  <c r="U24" i="6"/>
  <c r="I24" i="6"/>
  <c r="U23" i="6"/>
  <c r="I23" i="6"/>
  <c r="U22" i="6"/>
  <c r="I22" i="6"/>
  <c r="U21" i="6"/>
  <c r="I21" i="6"/>
  <c r="U20" i="6"/>
  <c r="I20" i="6"/>
  <c r="U19" i="6"/>
  <c r="I19" i="6"/>
  <c r="U18" i="6"/>
  <c r="I18" i="6"/>
  <c r="U17" i="6"/>
  <c r="I17" i="6"/>
  <c r="U16" i="6"/>
  <c r="I16" i="6"/>
  <c r="U15" i="6"/>
  <c r="I15" i="6"/>
  <c r="U14" i="6"/>
  <c r="I14" i="6"/>
  <c r="U12" i="6"/>
  <c r="I12" i="6"/>
  <c r="U64" i="5"/>
  <c r="I64" i="5"/>
  <c r="AA34" i="6"/>
  <c r="O34" i="6"/>
  <c r="AA33" i="6"/>
  <c r="O33" i="6"/>
  <c r="AA32" i="6"/>
  <c r="O32" i="6"/>
  <c r="AA31" i="6"/>
  <c r="O31" i="6"/>
  <c r="AA30" i="6"/>
  <c r="O30" i="6"/>
  <c r="AA28" i="6"/>
  <c r="O28" i="6"/>
  <c r="AA27" i="6"/>
  <c r="O27" i="6"/>
  <c r="AA26" i="6"/>
  <c r="O26" i="6"/>
  <c r="AA25" i="6"/>
  <c r="O25" i="6"/>
  <c r="AA24" i="6"/>
  <c r="O24" i="6"/>
  <c r="AA23" i="6"/>
  <c r="O23" i="6"/>
  <c r="AA22" i="6"/>
  <c r="O22" i="6"/>
  <c r="AA21" i="6"/>
  <c r="O21" i="6"/>
  <c r="AA20" i="6"/>
  <c r="O20" i="6"/>
  <c r="AA19" i="6"/>
  <c r="O19" i="6"/>
  <c r="AA18" i="6"/>
  <c r="O18" i="6"/>
  <c r="AA17" i="6"/>
  <c r="O17" i="6"/>
  <c r="AA16" i="6"/>
  <c r="O16" i="6"/>
  <c r="AA15" i="6"/>
  <c r="O15" i="6"/>
  <c r="AA14" i="6"/>
  <c r="O14" i="6"/>
  <c r="AA12" i="6"/>
  <c r="O12" i="6"/>
  <c r="AA64" i="5"/>
  <c r="O64" i="5"/>
  <c r="AA42" i="5"/>
  <c r="O42" i="5"/>
  <c r="AA41" i="5"/>
  <c r="O41" i="5"/>
  <c r="AA40" i="5"/>
  <c r="O40" i="5"/>
  <c r="AA39" i="5"/>
  <c r="O39" i="5"/>
  <c r="AA38" i="5"/>
  <c r="O38" i="5"/>
  <c r="AA37" i="5"/>
  <c r="O37" i="5"/>
  <c r="AA36" i="5"/>
  <c r="O36" i="5"/>
  <c r="AA35" i="5"/>
  <c r="O35" i="5"/>
  <c r="AA34" i="5"/>
  <c r="O34" i="5"/>
  <c r="AA33" i="5"/>
  <c r="O33" i="5"/>
  <c r="AA32" i="5"/>
  <c r="O32" i="5"/>
  <c r="AA31" i="5"/>
  <c r="O31" i="5"/>
  <c r="AA30" i="5"/>
  <c r="O30" i="5"/>
  <c r="U42" i="5"/>
  <c r="I42" i="5"/>
  <c r="U41" i="5"/>
  <c r="I41" i="5"/>
  <c r="U40" i="5"/>
  <c r="I40" i="5"/>
  <c r="U39" i="5"/>
  <c r="I39" i="5"/>
  <c r="U38" i="5"/>
  <c r="I38" i="5"/>
  <c r="U37" i="5"/>
  <c r="I37" i="5"/>
  <c r="U36" i="5"/>
  <c r="I36" i="5"/>
  <c r="U35" i="5"/>
  <c r="I35" i="5"/>
  <c r="U34" i="5"/>
  <c r="I34" i="5"/>
  <c r="U33" i="5"/>
  <c r="I33" i="5"/>
  <c r="U32" i="5"/>
  <c r="I32" i="5"/>
  <c r="U31" i="5"/>
  <c r="I31" i="5"/>
  <c r="U30" i="5"/>
  <c r="I30" i="5"/>
  <c r="U28" i="5"/>
  <c r="I28" i="5"/>
  <c r="U27" i="5"/>
  <c r="I27" i="5"/>
  <c r="U26" i="5"/>
  <c r="I26" i="5"/>
  <c r="U25" i="5"/>
  <c r="I25" i="5"/>
  <c r="U24" i="5"/>
  <c r="I24" i="5"/>
  <c r="U23" i="5"/>
  <c r="I23" i="5"/>
  <c r="U22" i="5"/>
  <c r="I22" i="5"/>
  <c r="U21" i="5"/>
  <c r="I21" i="5"/>
  <c r="U20" i="5"/>
  <c r="I20" i="5"/>
  <c r="U19" i="5"/>
  <c r="I19" i="5"/>
  <c r="U18" i="5"/>
  <c r="I18" i="5"/>
  <c r="U17" i="5"/>
  <c r="I17" i="5"/>
  <c r="U16" i="5"/>
  <c r="I16" i="5"/>
  <c r="U15" i="5"/>
  <c r="I15" i="5"/>
  <c r="U14" i="5"/>
  <c r="I14" i="5"/>
  <c r="U12" i="5"/>
  <c r="I12" i="5"/>
  <c r="U64" i="3"/>
  <c r="I64" i="3"/>
  <c r="U42" i="3"/>
  <c r="I42" i="3"/>
  <c r="U41" i="3"/>
  <c r="I41" i="3"/>
  <c r="U40" i="3"/>
  <c r="I40" i="3"/>
  <c r="U39" i="3"/>
  <c r="I39" i="3"/>
  <c r="U38" i="3"/>
  <c r="I38" i="3"/>
  <c r="U37" i="3"/>
  <c r="I37" i="3"/>
  <c r="U36" i="3"/>
  <c r="I36" i="3"/>
  <c r="U35" i="3"/>
  <c r="I35" i="3"/>
  <c r="U34" i="3"/>
  <c r="I34" i="3"/>
  <c r="U33" i="3"/>
  <c r="I33" i="3"/>
  <c r="U32" i="3"/>
  <c r="I32" i="3"/>
  <c r="U31" i="3"/>
  <c r="I31" i="3"/>
  <c r="U30" i="3"/>
  <c r="I30" i="3"/>
  <c r="U28" i="3"/>
  <c r="I28" i="3"/>
  <c r="U27" i="3"/>
  <c r="U26" i="3"/>
  <c r="I25" i="3"/>
  <c r="I24" i="3"/>
  <c r="I23" i="3"/>
  <c r="I21" i="3"/>
  <c r="I20" i="3"/>
  <c r="I19" i="3"/>
  <c r="AA26" i="3"/>
  <c r="AA25" i="3"/>
  <c r="AA24" i="3"/>
  <c r="AA23" i="3"/>
  <c r="AA22" i="3"/>
  <c r="O22" i="3"/>
  <c r="AA21" i="3"/>
  <c r="AA20" i="3"/>
  <c r="AA19" i="3"/>
  <c r="AA18" i="3"/>
  <c r="AA28" i="5"/>
  <c r="O28" i="5"/>
  <c r="AA27" i="5"/>
  <c r="O27" i="5"/>
  <c r="AA26" i="5"/>
  <c r="O26" i="5"/>
  <c r="AA25" i="5"/>
  <c r="O25" i="5"/>
  <c r="AA24" i="5"/>
  <c r="O24" i="5"/>
  <c r="AA23" i="5"/>
  <c r="O23" i="5"/>
  <c r="AA22" i="5"/>
  <c r="O22" i="5"/>
  <c r="AA21" i="5"/>
  <c r="O21" i="5"/>
  <c r="AA20" i="5"/>
  <c r="O20" i="5"/>
  <c r="AA19" i="5"/>
  <c r="O19" i="5"/>
  <c r="AA18" i="5"/>
  <c r="O18" i="5"/>
  <c r="AA17" i="5"/>
  <c r="O17" i="5"/>
  <c r="AA16" i="5"/>
  <c r="O16" i="5"/>
  <c r="AA15" i="5"/>
  <c r="O15" i="5"/>
  <c r="AA14" i="5"/>
  <c r="O14" i="5"/>
  <c r="AA12" i="5"/>
  <c r="O12" i="5"/>
  <c r="AA64" i="3"/>
  <c r="O64" i="3"/>
  <c r="AA42" i="3"/>
  <c r="O42" i="3"/>
  <c r="AA41" i="3"/>
  <c r="O41" i="3"/>
  <c r="AA40" i="3"/>
  <c r="O40" i="3"/>
  <c r="AA39" i="3"/>
  <c r="O39" i="3"/>
  <c r="AA38" i="3"/>
  <c r="O38" i="3"/>
  <c r="AA37" i="3"/>
  <c r="O37" i="3"/>
  <c r="AA36" i="3"/>
  <c r="O36" i="3"/>
  <c r="AA35" i="3"/>
  <c r="O35" i="3"/>
  <c r="AA34" i="3"/>
  <c r="O34" i="3"/>
  <c r="AA33" i="3"/>
  <c r="O33" i="3"/>
  <c r="AA32" i="3"/>
  <c r="O32" i="3"/>
  <c r="AA31" i="3"/>
  <c r="O31" i="3"/>
  <c r="AA30" i="3"/>
  <c r="O30" i="3"/>
  <c r="AA28" i="3"/>
  <c r="O28" i="3"/>
  <c r="AA27" i="3"/>
  <c r="O27" i="3"/>
  <c r="O26" i="3"/>
  <c r="O25" i="3"/>
  <c r="O24" i="3"/>
  <c r="O23" i="3"/>
  <c r="O21" i="3"/>
  <c r="O20" i="3"/>
  <c r="O19" i="3"/>
  <c r="I27" i="3"/>
  <c r="I26" i="3"/>
  <c r="U25" i="3"/>
  <c r="U24" i="3"/>
  <c r="U23" i="3"/>
  <c r="U22" i="3"/>
  <c r="I22" i="3"/>
  <c r="U21" i="3"/>
  <c r="U20" i="3"/>
  <c r="U19" i="3"/>
  <c r="U18" i="3"/>
  <c r="I18" i="3"/>
  <c r="U17" i="3"/>
  <c r="I17" i="3"/>
  <c r="U16" i="3"/>
  <c r="I16" i="3"/>
  <c r="U15" i="3"/>
  <c r="I15" i="3"/>
  <c r="U12" i="3"/>
  <c r="I12" i="3"/>
  <c r="O18" i="3"/>
  <c r="AA17" i="3"/>
  <c r="O17" i="3"/>
  <c r="AA16" i="3"/>
  <c r="O16" i="3"/>
  <c r="AA15" i="3"/>
  <c r="O15" i="3"/>
  <c r="AA14" i="3"/>
  <c r="U14" i="3"/>
  <c r="O14" i="3"/>
  <c r="I14" i="3"/>
  <c r="AA12" i="3"/>
  <c r="O12" i="3"/>
  <c r="O44" i="3" l="1"/>
  <c r="AA44" i="3"/>
  <c r="O45" i="3"/>
  <c r="AA45" i="3"/>
  <c r="O46" i="3"/>
  <c r="I44" i="3"/>
  <c r="U44" i="3"/>
  <c r="I45" i="3"/>
  <c r="U45" i="3"/>
  <c r="I46" i="3"/>
  <c r="U46" i="3"/>
  <c r="U47" i="3"/>
  <c r="U48" i="3"/>
  <c r="U49" i="3"/>
  <c r="O47" i="3"/>
  <c r="O48" i="3"/>
  <c r="O49" i="3"/>
  <c r="O29" i="3"/>
  <c r="AA29" i="3"/>
  <c r="O44" i="5"/>
  <c r="AA44" i="5"/>
  <c r="O45" i="5"/>
  <c r="AA45" i="5"/>
  <c r="O46" i="5"/>
  <c r="AA46" i="5"/>
  <c r="O47" i="5"/>
  <c r="AA47" i="5"/>
  <c r="O48" i="5"/>
  <c r="AA48" i="5"/>
  <c r="O49" i="5"/>
  <c r="AA49" i="5"/>
  <c r="AA46" i="3"/>
  <c r="AA47" i="3"/>
  <c r="AA48" i="3"/>
  <c r="AA49" i="3"/>
  <c r="I47" i="3"/>
  <c r="I48" i="3"/>
  <c r="I49" i="3"/>
  <c r="I29" i="3"/>
  <c r="U29" i="3"/>
  <c r="I44" i="5"/>
  <c r="U44" i="5"/>
  <c r="I45" i="5"/>
  <c r="U45" i="5"/>
  <c r="I46" i="5"/>
  <c r="U46" i="5"/>
  <c r="I47" i="5"/>
  <c r="U47" i="5"/>
  <c r="I48" i="5"/>
  <c r="U48" i="5"/>
  <c r="I49" i="5"/>
  <c r="U49" i="5"/>
  <c r="I29" i="5"/>
  <c r="U29" i="5"/>
  <c r="O29" i="5"/>
  <c r="AA29" i="5"/>
  <c r="O44" i="6"/>
  <c r="AA44" i="6"/>
  <c r="O45" i="6"/>
  <c r="AA45" i="6"/>
  <c r="O46" i="6"/>
  <c r="AA46" i="6"/>
  <c r="O47" i="6"/>
  <c r="AA47" i="6"/>
  <c r="O48" i="6"/>
  <c r="AA48" i="6"/>
  <c r="O49" i="6"/>
  <c r="AA49" i="6"/>
  <c r="O29" i="6"/>
  <c r="AA29" i="6"/>
  <c r="I44" i="6"/>
  <c r="U44" i="6"/>
  <c r="I45" i="6"/>
  <c r="U45" i="6"/>
  <c r="I46" i="6"/>
  <c r="U46" i="6"/>
  <c r="I47" i="6"/>
  <c r="U47" i="6"/>
  <c r="I48" i="6"/>
  <c r="U48" i="6"/>
  <c r="I49" i="6"/>
  <c r="U49" i="6"/>
  <c r="I29" i="6"/>
  <c r="U29" i="6"/>
  <c r="H58" i="3"/>
  <c r="H43" i="3"/>
  <c r="M58" i="3"/>
  <c r="M43" i="3"/>
  <c r="R58" i="3"/>
  <c r="R43" i="3"/>
  <c r="W58" i="3"/>
  <c r="W43" i="3"/>
  <c r="E58" i="3"/>
  <c r="E43" i="3"/>
  <c r="N58" i="3"/>
  <c r="N43" i="3"/>
  <c r="S58" i="3"/>
  <c r="S43" i="3"/>
  <c r="X58" i="3"/>
  <c r="X43" i="3"/>
  <c r="E13" i="3"/>
  <c r="K13" i="3"/>
  <c r="Q13" i="3"/>
  <c r="W13" i="3"/>
  <c r="F58" i="3"/>
  <c r="F43" i="3"/>
  <c r="K58" i="3"/>
  <c r="K43" i="3"/>
  <c r="T58" i="3"/>
  <c r="T43" i="3"/>
  <c r="Y58" i="3"/>
  <c r="Y43" i="3"/>
  <c r="G58" i="3"/>
  <c r="G43" i="3"/>
  <c r="L58" i="3"/>
  <c r="L43" i="3"/>
  <c r="Q58" i="3"/>
  <c r="Q43" i="3"/>
  <c r="Z58" i="3"/>
  <c r="Z43" i="3"/>
  <c r="F13" i="3"/>
  <c r="N13" i="3"/>
  <c r="R13" i="3"/>
  <c r="Z13" i="3"/>
  <c r="J50" i="3"/>
  <c r="V50" i="3"/>
  <c r="J57" i="3"/>
  <c r="V57" i="3"/>
  <c r="F13" i="5"/>
  <c r="N13" i="5"/>
  <c r="R13" i="5"/>
  <c r="Z13" i="5"/>
  <c r="F58" i="5"/>
  <c r="F43" i="5"/>
  <c r="N58" i="5"/>
  <c r="N43" i="5"/>
  <c r="R58" i="5"/>
  <c r="R43" i="5"/>
  <c r="Z58" i="5"/>
  <c r="Z43" i="5"/>
  <c r="G13" i="5"/>
  <c r="K13" i="5"/>
  <c r="S13" i="5"/>
  <c r="W13" i="5"/>
  <c r="G58" i="5"/>
  <c r="G43" i="5"/>
  <c r="K58" i="5"/>
  <c r="K43" i="5"/>
  <c r="S58" i="5"/>
  <c r="S43" i="5"/>
  <c r="W58" i="5"/>
  <c r="W43" i="5"/>
  <c r="H13" i="3"/>
  <c r="L13" i="3"/>
  <c r="T13" i="3"/>
  <c r="X13" i="3"/>
  <c r="D50" i="3"/>
  <c r="P50" i="3"/>
  <c r="D57" i="3"/>
  <c r="P57" i="3"/>
  <c r="H13" i="5"/>
  <c r="L13" i="5"/>
  <c r="T13" i="5"/>
  <c r="X13" i="5"/>
  <c r="H58" i="5"/>
  <c r="H43" i="5"/>
  <c r="L58" i="5"/>
  <c r="L43" i="5"/>
  <c r="T58" i="5"/>
  <c r="T43" i="5"/>
  <c r="X58" i="5"/>
  <c r="X43" i="5"/>
  <c r="E13" i="5"/>
  <c r="M13" i="5"/>
  <c r="Q13" i="5"/>
  <c r="Y13" i="5"/>
  <c r="E58" i="5"/>
  <c r="E43" i="5"/>
  <c r="M58" i="5"/>
  <c r="M43" i="5"/>
  <c r="Q58" i="5"/>
  <c r="Q43" i="5"/>
  <c r="Y58" i="5"/>
  <c r="Y43" i="5"/>
  <c r="J66" i="5"/>
  <c r="V66" i="5"/>
  <c r="J50" i="5"/>
  <c r="V50" i="5"/>
  <c r="J57" i="5"/>
  <c r="V57" i="5"/>
  <c r="D66" i="5"/>
  <c r="P66" i="5"/>
  <c r="D50" i="5"/>
  <c r="P50" i="5"/>
  <c r="D57" i="5"/>
  <c r="P57" i="5"/>
  <c r="F13" i="6"/>
  <c r="N13" i="6"/>
  <c r="R13" i="6"/>
  <c r="Z13" i="6"/>
  <c r="R58" i="6"/>
  <c r="R43" i="6"/>
  <c r="Z43" i="6"/>
  <c r="Z58" i="6"/>
  <c r="J65" i="6"/>
  <c r="J66" i="6" s="1"/>
  <c r="J57" i="6"/>
  <c r="J50" i="6"/>
  <c r="G13" i="6"/>
  <c r="K13" i="6"/>
  <c r="S13" i="6"/>
  <c r="W13" i="6"/>
  <c r="G58" i="6"/>
  <c r="G43" i="6"/>
  <c r="K58" i="6"/>
  <c r="K43" i="6"/>
  <c r="S58" i="6"/>
  <c r="S43" i="6"/>
  <c r="W58" i="6"/>
  <c r="W43" i="6"/>
  <c r="N43" i="6"/>
  <c r="H13" i="6"/>
  <c r="L13" i="6"/>
  <c r="T13" i="6"/>
  <c r="X13" i="6"/>
  <c r="H43" i="6"/>
  <c r="H58" i="6"/>
  <c r="L43" i="6"/>
  <c r="L58" i="6"/>
  <c r="T58" i="6"/>
  <c r="T43" i="6"/>
  <c r="X43" i="6"/>
  <c r="X58" i="6"/>
  <c r="D50" i="6"/>
  <c r="P66" i="6"/>
  <c r="E13" i="6"/>
  <c r="M13" i="6"/>
  <c r="Q13" i="6"/>
  <c r="Y13" i="6"/>
  <c r="E58" i="6"/>
  <c r="E43" i="6"/>
  <c r="M58" i="6"/>
  <c r="M43" i="6"/>
  <c r="Q58" i="6"/>
  <c r="Q43" i="6"/>
  <c r="Y58" i="6"/>
  <c r="Y43" i="6"/>
  <c r="F43" i="6"/>
  <c r="P50" i="6"/>
  <c r="D65" i="6"/>
  <c r="D66" i="6" s="1"/>
  <c r="V66" i="6"/>
  <c r="V50" i="6"/>
  <c r="D57" i="6"/>
  <c r="P57" i="6"/>
  <c r="V57" i="6"/>
  <c r="O51" i="3"/>
  <c r="O53" i="3"/>
  <c r="U52" i="3"/>
  <c r="U55" i="3"/>
  <c r="O56" i="3"/>
  <c r="AA51" i="5"/>
  <c r="AA53" i="5"/>
  <c r="AA55" i="5"/>
  <c r="AA54" i="3"/>
  <c r="I55" i="3"/>
  <c r="I51" i="5"/>
  <c r="I53" i="5"/>
  <c r="I55" i="5"/>
  <c r="O51" i="6"/>
  <c r="O53" i="6"/>
  <c r="O55" i="6"/>
  <c r="I52" i="6"/>
  <c r="I54" i="6"/>
  <c r="I56" i="6"/>
  <c r="I13" i="3"/>
  <c r="I13" i="5"/>
  <c r="U13" i="6"/>
  <c r="AA51" i="3"/>
  <c r="I51" i="3"/>
  <c r="I53" i="3"/>
  <c r="U56" i="3"/>
  <c r="O52" i="5"/>
  <c r="O54" i="5"/>
  <c r="O56" i="5"/>
  <c r="AA55" i="3"/>
  <c r="I56" i="3"/>
  <c r="U51" i="5"/>
  <c r="U53" i="5"/>
  <c r="U55" i="5"/>
  <c r="AA51" i="6"/>
  <c r="AA53" i="6"/>
  <c r="AA55" i="6"/>
  <c r="U52" i="6"/>
  <c r="U54" i="6"/>
  <c r="U56" i="6"/>
  <c r="I43" i="3"/>
  <c r="O13" i="3"/>
  <c r="U43" i="3"/>
  <c r="O13" i="5"/>
  <c r="U43" i="5"/>
  <c r="O52" i="3"/>
  <c r="U51" i="3"/>
  <c r="U53" i="3"/>
  <c r="O54" i="3"/>
  <c r="AA52" i="5"/>
  <c r="AA54" i="5"/>
  <c r="AA56" i="5"/>
  <c r="AA56" i="3"/>
  <c r="I52" i="5"/>
  <c r="I54" i="5"/>
  <c r="I56" i="5"/>
  <c r="O52" i="6"/>
  <c r="O54" i="6"/>
  <c r="O56" i="6"/>
  <c r="I51" i="6"/>
  <c r="I53" i="6"/>
  <c r="I55" i="6"/>
  <c r="U13" i="3"/>
  <c r="U13" i="5"/>
  <c r="AA13" i="6"/>
  <c r="O43" i="6"/>
  <c r="AA43" i="6"/>
  <c r="I13" i="6"/>
  <c r="AA52" i="3"/>
  <c r="I52" i="3"/>
  <c r="U54" i="3"/>
  <c r="O55" i="3"/>
  <c r="O51" i="5"/>
  <c r="O53" i="5"/>
  <c r="O55" i="5"/>
  <c r="AA53" i="3"/>
  <c r="I54" i="3"/>
  <c r="U52" i="5"/>
  <c r="U54" i="5"/>
  <c r="U56" i="5"/>
  <c r="AA52" i="6"/>
  <c r="AA54" i="6"/>
  <c r="AA56" i="6"/>
  <c r="U51" i="6"/>
  <c r="U53" i="6"/>
  <c r="U55" i="6"/>
  <c r="AA43" i="3"/>
  <c r="AA13" i="3"/>
  <c r="O43" i="3"/>
  <c r="AA13" i="5"/>
  <c r="O43" i="5"/>
  <c r="AA43" i="5"/>
  <c r="I43" i="6"/>
  <c r="U43" i="6"/>
  <c r="O13" i="6"/>
  <c r="I43" i="5"/>
  <c r="I65" i="5" l="1"/>
  <c r="I66" i="5" s="1"/>
  <c r="I57" i="5"/>
  <c r="I50" i="5"/>
  <c r="U57" i="6"/>
  <c r="U65" i="6"/>
  <c r="U66" i="6" s="1"/>
  <c r="U50" i="6"/>
  <c r="I65" i="6"/>
  <c r="I66" i="6" s="1"/>
  <c r="I50" i="6"/>
  <c r="I57" i="6"/>
  <c r="AA65" i="5"/>
  <c r="AA66" i="5" s="1"/>
  <c r="AA57" i="5"/>
  <c r="AA50" i="5"/>
  <c r="O65" i="5"/>
  <c r="O66" i="5" s="1"/>
  <c r="O57" i="5"/>
  <c r="O50" i="5"/>
  <c r="O65" i="3"/>
  <c r="O66" i="3" s="1"/>
  <c r="O57" i="3"/>
  <c r="O50" i="3"/>
  <c r="AA65" i="3"/>
  <c r="AA66" i="3" s="1"/>
  <c r="AA57" i="3"/>
  <c r="AA50" i="3"/>
  <c r="AA65" i="6"/>
  <c r="AA66" i="6" s="1"/>
  <c r="AA57" i="6"/>
  <c r="AA50" i="6"/>
  <c r="O65" i="6"/>
  <c r="O66" i="6" s="1"/>
  <c r="O57" i="6"/>
  <c r="O50" i="6"/>
  <c r="U65" i="5"/>
  <c r="U66" i="5" s="1"/>
  <c r="U57" i="5"/>
  <c r="U50" i="5"/>
  <c r="U65" i="3"/>
  <c r="U66" i="3" s="1"/>
  <c r="U57" i="3"/>
  <c r="U50" i="3"/>
  <c r="I65" i="3"/>
  <c r="I66" i="3" s="1"/>
  <c r="I57" i="3"/>
  <c r="I50" i="3"/>
  <c r="E65" i="5"/>
  <c r="E66" i="5" s="1"/>
  <c r="E57" i="5"/>
  <c r="E50" i="5"/>
  <c r="Q65" i="6"/>
  <c r="Q66" i="6" s="1"/>
  <c r="Q57" i="6"/>
  <c r="Q50" i="6"/>
  <c r="E57" i="6"/>
  <c r="E65" i="6"/>
  <c r="E66" i="6" s="1"/>
  <c r="E50" i="6"/>
  <c r="N65" i="6"/>
  <c r="N66" i="6" s="1"/>
  <c r="N50" i="6"/>
  <c r="N57" i="6"/>
  <c r="Y65" i="5"/>
  <c r="Y66" i="5" s="1"/>
  <c r="Y57" i="5"/>
  <c r="Y50" i="5"/>
  <c r="M65" i="5"/>
  <c r="M66" i="5" s="1"/>
  <c r="M57" i="5"/>
  <c r="M50" i="5"/>
  <c r="X65" i="5"/>
  <c r="X66" i="5" s="1"/>
  <c r="X57" i="5"/>
  <c r="X50" i="5"/>
  <c r="L65" i="5"/>
  <c r="L66" i="5" s="1"/>
  <c r="L57" i="5"/>
  <c r="L50" i="5"/>
  <c r="W65" i="5"/>
  <c r="W66" i="5" s="1"/>
  <c r="W57" i="5"/>
  <c r="W50" i="5"/>
  <c r="K65" i="5"/>
  <c r="K66" i="5" s="1"/>
  <c r="K57" i="5"/>
  <c r="K50" i="5"/>
  <c r="Z65" i="5"/>
  <c r="Z66" i="5" s="1"/>
  <c r="Z57" i="5"/>
  <c r="Z50" i="5"/>
  <c r="N65" i="5"/>
  <c r="N66" i="5" s="1"/>
  <c r="N57" i="5"/>
  <c r="N50" i="5"/>
  <c r="Z65" i="3"/>
  <c r="Z66" i="3" s="1"/>
  <c r="Z57" i="3"/>
  <c r="Z50" i="3"/>
  <c r="L65" i="3"/>
  <c r="L66" i="3" s="1"/>
  <c r="L57" i="3"/>
  <c r="L50" i="3"/>
  <c r="Y65" i="3"/>
  <c r="Y66" i="3" s="1"/>
  <c r="Y57" i="3"/>
  <c r="Y50" i="3"/>
  <c r="K65" i="3"/>
  <c r="K66" i="3" s="1"/>
  <c r="K57" i="3"/>
  <c r="K50" i="3"/>
  <c r="X65" i="3"/>
  <c r="X66" i="3" s="1"/>
  <c r="X57" i="3"/>
  <c r="X50" i="3"/>
  <c r="N65" i="3"/>
  <c r="N66" i="3" s="1"/>
  <c r="N57" i="3"/>
  <c r="N50" i="3"/>
  <c r="W65" i="3"/>
  <c r="W66" i="3" s="1"/>
  <c r="W57" i="3"/>
  <c r="W50" i="3"/>
  <c r="M65" i="3"/>
  <c r="M66" i="3" s="1"/>
  <c r="M57" i="3"/>
  <c r="M50" i="3"/>
  <c r="U62" i="6"/>
  <c r="U60" i="6"/>
  <c r="U58" i="6"/>
  <c r="AA63" i="6"/>
  <c r="AA61" i="6"/>
  <c r="AA59" i="6"/>
  <c r="U63" i="5"/>
  <c r="U61" i="5"/>
  <c r="U59" i="5"/>
  <c r="I61" i="3"/>
  <c r="AA60" i="3"/>
  <c r="O62" i="5"/>
  <c r="O60" i="5"/>
  <c r="O58" i="5"/>
  <c r="O62" i="3"/>
  <c r="U61" i="3"/>
  <c r="I59" i="3"/>
  <c r="AA59" i="3"/>
  <c r="F65" i="6"/>
  <c r="F66" i="6" s="1"/>
  <c r="F57" i="6"/>
  <c r="F50" i="6"/>
  <c r="X65" i="6"/>
  <c r="X66" i="6" s="1"/>
  <c r="X50" i="6"/>
  <c r="X57" i="6"/>
  <c r="L57" i="6"/>
  <c r="L50" i="6"/>
  <c r="L65" i="6"/>
  <c r="L66" i="6" s="1"/>
  <c r="W65" i="6"/>
  <c r="W66" i="6" s="1"/>
  <c r="W57" i="6"/>
  <c r="W50" i="6"/>
  <c r="K65" i="6"/>
  <c r="K66" i="6" s="1"/>
  <c r="K57" i="6"/>
  <c r="K50" i="6"/>
  <c r="Z65" i="6"/>
  <c r="Z66" i="6" s="1"/>
  <c r="Z57" i="6"/>
  <c r="Z50" i="6"/>
  <c r="I62" i="6"/>
  <c r="I60" i="6"/>
  <c r="I58" i="6"/>
  <c r="O63" i="6"/>
  <c r="O61" i="6"/>
  <c r="O59" i="6"/>
  <c r="I63" i="5"/>
  <c r="I61" i="5"/>
  <c r="I59" i="5"/>
  <c r="AA63" i="3"/>
  <c r="AA63" i="5"/>
  <c r="AA61" i="5"/>
  <c r="AA59" i="5"/>
  <c r="O61" i="3"/>
  <c r="U60" i="3"/>
  <c r="U58" i="3"/>
  <c r="O59" i="3"/>
  <c r="Q65" i="5"/>
  <c r="Q66" i="5" s="1"/>
  <c r="Q57" i="5"/>
  <c r="Q50" i="5"/>
  <c r="H65" i="5"/>
  <c r="H66" i="5" s="1"/>
  <c r="H57" i="5"/>
  <c r="H50" i="5"/>
  <c r="S65" i="5"/>
  <c r="S66" i="5" s="1"/>
  <c r="S57" i="5"/>
  <c r="S50" i="5"/>
  <c r="G65" i="5"/>
  <c r="G66" i="5" s="1"/>
  <c r="G57" i="5"/>
  <c r="G50" i="5"/>
  <c r="R65" i="5"/>
  <c r="R66" i="5" s="1"/>
  <c r="R57" i="5"/>
  <c r="R50" i="5"/>
  <c r="F65" i="5"/>
  <c r="F66" i="5" s="1"/>
  <c r="F57" i="5"/>
  <c r="F50" i="5"/>
  <c r="Q65" i="3"/>
  <c r="Q66" i="3" s="1"/>
  <c r="Q57" i="3"/>
  <c r="Q50" i="3"/>
  <c r="G65" i="3"/>
  <c r="G66" i="3" s="1"/>
  <c r="G57" i="3"/>
  <c r="G50" i="3"/>
  <c r="T65" i="3"/>
  <c r="T66" i="3" s="1"/>
  <c r="T57" i="3"/>
  <c r="T50" i="3"/>
  <c r="F65" i="3"/>
  <c r="F66" i="3" s="1"/>
  <c r="F57" i="3"/>
  <c r="F50" i="3"/>
  <c r="S65" i="3"/>
  <c r="S66" i="3" s="1"/>
  <c r="S57" i="3"/>
  <c r="S50" i="3"/>
  <c r="E65" i="3"/>
  <c r="E66" i="3" s="1"/>
  <c r="E57" i="3"/>
  <c r="E50" i="3"/>
  <c r="R65" i="3"/>
  <c r="R66" i="3" s="1"/>
  <c r="R57" i="3"/>
  <c r="R50" i="3"/>
  <c r="H65" i="3"/>
  <c r="H66" i="3" s="1"/>
  <c r="H57" i="3"/>
  <c r="H50" i="3"/>
  <c r="U63" i="6"/>
  <c r="U61" i="6"/>
  <c r="U59" i="6"/>
  <c r="AA62" i="6"/>
  <c r="AA60" i="6"/>
  <c r="AA58" i="6"/>
  <c r="U62" i="5"/>
  <c r="U60" i="5"/>
  <c r="U58" i="5"/>
  <c r="I63" i="3"/>
  <c r="AA62" i="3"/>
  <c r="O63" i="5"/>
  <c r="O61" i="5"/>
  <c r="O59" i="5"/>
  <c r="U63" i="3"/>
  <c r="I60" i="3"/>
  <c r="I58" i="3"/>
  <c r="AA58" i="3"/>
  <c r="Y65" i="6"/>
  <c r="Y66" i="6" s="1"/>
  <c r="Y50" i="6"/>
  <c r="Y57" i="6"/>
  <c r="M50" i="6"/>
  <c r="M65" i="6"/>
  <c r="M66" i="6" s="1"/>
  <c r="M57" i="6"/>
  <c r="T50" i="6"/>
  <c r="T57" i="6"/>
  <c r="T65" i="6"/>
  <c r="T66" i="6" s="1"/>
  <c r="R65" i="6"/>
  <c r="R66" i="6" s="1"/>
  <c r="R50" i="6"/>
  <c r="R57" i="6"/>
  <c r="T65" i="5"/>
  <c r="T66" i="5" s="1"/>
  <c r="T57" i="5"/>
  <c r="T50" i="5"/>
  <c r="H65" i="6"/>
  <c r="H66" i="6" s="1"/>
  <c r="H50" i="6"/>
  <c r="H57" i="6"/>
  <c r="S65" i="6"/>
  <c r="S66" i="6" s="1"/>
  <c r="S57" i="6"/>
  <c r="S50" i="6"/>
  <c r="G65" i="6"/>
  <c r="G66" i="6" s="1"/>
  <c r="G57" i="6"/>
  <c r="G50" i="6"/>
  <c r="I63" i="6"/>
  <c r="I61" i="6"/>
  <c r="I59" i="6"/>
  <c r="O62" i="6"/>
  <c r="O60" i="6"/>
  <c r="O58" i="6"/>
  <c r="I62" i="5"/>
  <c r="I60" i="5"/>
  <c r="I58" i="5"/>
  <c r="I62" i="3"/>
  <c r="AA61" i="3"/>
  <c r="AA62" i="5"/>
  <c r="AA60" i="5"/>
  <c r="AA58" i="5"/>
  <c r="O63" i="3"/>
  <c r="U62" i="3"/>
  <c r="U59" i="3"/>
  <c r="O60" i="3"/>
  <c r="O58" i="3"/>
</calcChain>
</file>

<file path=xl/sharedStrings.xml><?xml version="1.0" encoding="utf-8"?>
<sst xmlns="http://schemas.openxmlformats.org/spreadsheetml/2006/main" count="517" uniqueCount="127">
  <si>
    <t>Scenario:</t>
  </si>
  <si>
    <t>Virtual Entity:</t>
  </si>
  <si>
    <t>Sales and GP Planning (Net Sales and GP in %)</t>
  </si>
  <si>
    <t>3000</t>
  </si>
  <si>
    <t>4000</t>
  </si>
  <si>
    <t>4C01</t>
  </si>
  <si>
    <t>SA_0001</t>
  </si>
  <si>
    <t>3300</t>
  </si>
  <si>
    <t>Country:</t>
  </si>
  <si>
    <t>Style12</t>
  </si>
  <si>
    <t>Style15</t>
  </si>
  <si>
    <t>Style14</t>
  </si>
  <si>
    <t>eb801898-06f9-497d-b178-25715676882b</t>
  </si>
  <si>
    <t>40d8cb09-2f9f-4528-973a-f5479d6740b6</t>
  </si>
  <si>
    <t>a67e91a1-f080-4326-a895-ca55bbfec005</t>
  </si>
  <si>
    <t>1cc8c2a2-75dc-4d55-aeb2-6a41e91f1819</t>
  </si>
  <si>
    <t>19ae0bab-988e-4c29-b172-ff1311706623</t>
  </si>
  <si>
    <t>59411c1d-df51-4d82-8a0d-dfcf1ff184cc</t>
  </si>
  <si>
    <t>c2b23cc9-ab56-411c-8e21-8c5b5f1a4624</t>
  </si>
  <si>
    <t>0d15fe30-9166-4392-93f6-f95076d9e669</t>
  </si>
  <si>
    <t>4f5d2b84-020b-4dcd-af2a-d0c361751c47</t>
  </si>
  <si>
    <t>5e47d79d-bb68-416c-bb42-c215f8b84c07</t>
  </si>
  <si>
    <t>ee7df43a-669b-44da-b5fb-c0de53ccdb29</t>
  </si>
  <si>
    <t>bfb095b5-2e78-4333-8b1b-2e5a42bfafce</t>
  </si>
  <si>
    <t>e9756e68-408c-45a2-a7a6-09f8c92718b6</t>
  </si>
  <si>
    <t>9123a0f3-bd26-498f-9b69-fbbf91906e9e</t>
  </si>
  <si>
    <t>5e7ffeec-24df-44d3-879d-9df993f0e084</t>
  </si>
  <si>
    <t>c2f90d01-55cd-4dce-b4dd-70283b0615d5</t>
  </si>
  <si>
    <t>4cefbab0-e760-477b-817e-435d36303d33</t>
  </si>
  <si>
    <t>d243b8df-897d-4b66-a7f0-b51f06f4a5ab</t>
  </si>
  <si>
    <t>Normal</t>
  </si>
  <si>
    <t>a0bb4345-d0bb-4b87-819f-8543bd92ff0c</t>
  </si>
  <si>
    <t>Style9</t>
  </si>
  <si>
    <t>f8f937f2-e890-4c40-a76c-338aeac68a5c</t>
  </si>
  <si>
    <t>Style6</t>
  </si>
  <si>
    <t>Style5</t>
  </si>
  <si>
    <t>2b09a48f-8437-461a-bd9c-92c5654fa41a</t>
  </si>
  <si>
    <t>Style8</t>
  </si>
  <si>
    <t>8b08fbfe-8df9-4a84-a36a-34df468d782f</t>
  </si>
  <si>
    <t>4b031cc5-7063-47ed-a120-ccd7f8c9e457</t>
  </si>
  <si>
    <t>0cda4468-55d5-4609-b235-93edfbd12991</t>
  </si>
  <si>
    <t>Style2</t>
  </si>
  <si>
    <t>4ec0ccb5-7719-4182-91ee-074159c4bf31</t>
  </si>
  <si>
    <t>Style0_Header</t>
  </si>
  <si>
    <t>Style4</t>
  </si>
  <si>
    <t>Style3</t>
  </si>
  <si>
    <t>60% - Accent4</t>
  </si>
  <si>
    <t>Style13</t>
  </si>
  <si>
    <t>40% - Accent1</t>
  </si>
  <si>
    <t>60% - Accent5</t>
  </si>
  <si>
    <t>Heading 1</t>
  </si>
  <si>
    <t>Neutral</t>
  </si>
  <si>
    <t>40% - Accent2</t>
  </si>
  <si>
    <t>60% - Accent2</t>
  </si>
  <si>
    <t>Style11</t>
  </si>
  <si>
    <t>40% - Accent3</t>
  </si>
  <si>
    <t>60% - Accent3</t>
  </si>
  <si>
    <t>Style10</t>
  </si>
  <si>
    <t>Heading 4</t>
  </si>
  <si>
    <t>Style17</t>
  </si>
  <si>
    <t>Style16</t>
  </si>
  <si>
    <t>60% - Accent6</t>
  </si>
  <si>
    <t>Heading 2</t>
  </si>
  <si>
    <t>Heading 3</t>
  </si>
  <si>
    <t>20% - Accent4</t>
  </si>
  <si>
    <t>20% - Accent5</t>
  </si>
  <si>
    <t>20% - Accent2</t>
  </si>
  <si>
    <t>20% - Accent3</t>
  </si>
  <si>
    <t>Accent6</t>
  </si>
  <si>
    <t>Accent5</t>
  </si>
  <si>
    <t>20% - Accent1</t>
  </si>
  <si>
    <t>Accent4</t>
  </si>
  <si>
    <t>Accent3</t>
  </si>
  <si>
    <t>Accent2</t>
  </si>
  <si>
    <t>Input</t>
  </si>
  <si>
    <t>Explanatory Text</t>
  </si>
  <si>
    <t>Currency</t>
  </si>
  <si>
    <t>Calculation</t>
  </si>
  <si>
    <t>Comma [0]</t>
  </si>
  <si>
    <t>20% - Accent6</t>
  </si>
  <si>
    <t>Note</t>
  </si>
  <si>
    <t>40% - Accent4</t>
  </si>
  <si>
    <t>40% - Accent5</t>
  </si>
  <si>
    <t>60% - Accent1</t>
  </si>
  <si>
    <t>40% - Accent6</t>
  </si>
  <si>
    <t>Currency [0]</t>
  </si>
  <si>
    <t>Comma</t>
  </si>
  <si>
    <t>Output</t>
  </si>
  <si>
    <t>Bad</t>
  </si>
  <si>
    <t>Check Cell</t>
  </si>
  <si>
    <t>Percent</t>
  </si>
  <si>
    <t>Warning Text</t>
  </si>
  <si>
    <t>Title</t>
  </si>
  <si>
    <t>Linked Cell</t>
  </si>
  <si>
    <t>Total</t>
  </si>
  <si>
    <t>Style7</t>
  </si>
  <si>
    <t>Good</t>
  </si>
  <si>
    <t>Style1</t>
  </si>
  <si>
    <t>2017FC2_17 - 2017 Forecast 2 2017</t>
  </si>
  <si>
    <t>V0100_NLD - null</t>
  </si>
  <si>
    <t>V0100 - null</t>
  </si>
  <si>
    <t/>
  </si>
  <si>
    <t>##TGK_SHORTDATE</t>
  </si>
  <si>
    <t>Accent1</t>
  </si>
  <si>
    <t>Actual</t>
  </si>
  <si>
    <t>2016</t>
  </si>
  <si>
    <t>Forecast</t>
  </si>
  <si>
    <t>4th Quarter 2018</t>
  </si>
  <si>
    <t>Sum Budget</t>
  </si>
  <si>
    <t>4th Quarter 2016</t>
  </si>
  <si>
    <t>3rd Quarter 2018</t>
  </si>
  <si>
    <t>1st Quarter 2017</t>
  </si>
  <si>
    <t>2nd Quarter 2018</t>
  </si>
  <si>
    <t>Sum</t>
  </si>
  <si>
    <t xml:space="preserve"> </t>
  </si>
  <si>
    <t>1st Quarter 2018</t>
  </si>
  <si>
    <t>Budget</t>
  </si>
  <si>
    <t>2nd Quarter 2017</t>
  </si>
  <si>
    <t>2018</t>
  </si>
  <si>
    <t>1st Quarter 2016</t>
  </si>
  <si>
    <t>2017</t>
  </si>
  <si>
    <t>4th Quarter 2017</t>
  </si>
  <si>
    <t>3rd Quarter 2016</t>
  </si>
  <si>
    <t>3rd Quarter 2017</t>
  </si>
  <si>
    <t>2nd Quarter 2016</t>
  </si>
  <si>
    <t>Currency:  kEUR</t>
  </si>
  <si>
    <t>2017FC2_17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</si>
</sst>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#,##0.0"/>
    <numFmt numFmtId="166" formatCode="#,##0.000"/>
    <numFmt numFmtId="168" formatCode="#,##0,"/>
    <numFmt numFmtId="169" formatCode="mm/dd/yy;@"/>
    <numFmt numFmtId="170" formatCode="dd/mm/yy;@"/>
    <numFmt numFmtId="171" formatCode="\ @"/>
    <numFmt numFmtId="172" formatCode="0.0;\-0.0;;@"/>
    <numFmt numFmtId="173" formatCode="m/d/yy"/>
    <numFmt numFmtId="174" formatCode="_(&quot;€&quot;* #,##0.00_);_(&quot;€&quot;* \(#,##0.00\);_(&quot;€&quot;* &quot;-&quot;??_);_(@_)"/>
    <numFmt numFmtId="175" formatCode="_(&quot;€&quot;* #,##0_);_(&quot;€&quot;* \(#,##0\);_(&quot;€&quot;* &quot;-&quot;_);_(@_)"/>
  </numFmts>
  <fonts count="13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8"/>
      <color theme="3"/>
      <name val="Tahoma"/>
      <family val="2"/>
    </font>
    <font>
      <b/>
      <sz val="9"/>
      <color theme="3"/>
      <name val="Calibri"/>
      <family val="2"/>
    </font>
    <font>
      <sz val="8"/>
      <color theme="1"/>
      <name val="Tahoma"/>
      <family val="2"/>
    </font>
    <font>
      <sz val="7"/>
      <color theme="1"/>
      <name val="Tahoma"/>
      <family val="2"/>
    </font>
    <font>
      <b/>
      <sz val="8"/>
      <color theme="3"/>
      <name val="Tahoma"/>
      <family val="2"/>
    </font>
    <font>
      <u/>
      <sz val="8"/>
      <color theme="3"/>
      <name val="Tahoma"/>
      <family val="2"/>
    </font>
    <font>
      <sz val="10"/>
      <color theme="3"/>
      <name val="Webdings"/>
      <family val="1"/>
      <charset val="2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Tahoma"/>
      <family val="2"/>
    </font>
    <font>
      <sz val="8"/>
      <color theme="0" tint="-4.9958800012207406E-2"/>
      <name val="Tahoma"/>
      <family val="2"/>
    </font>
    <font>
      <b/>
      <sz val="10"/>
      <color theme="1"/>
      <name val="Calibri"/>
      <family val="2"/>
      <scheme val="minor"/>
    </font>
    <font>
      <sz val="8"/>
      <color rgb="FF44546A"/>
      <name val="Tahoma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Tahoma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sz val="8"/>
      <color rgb="FFFFFFFF"/>
      <name val="Tahoma"/>
      <family val="2"/>
    </font>
    <font>
      <b/>
      <sz val="10"/>
      <color rgb="FF000000"/>
      <name val="Calibri"/>
      <family val="2"/>
    </font>
    <font>
      <sz val="11"/>
      <color rgb="FFFFFFFF"/>
      <name val="Calibri"/>
    </font>
    <font>
      <b/>
      <sz val="8"/>
      <color rgb="FF000000"/>
      <name val="Calibri"/>
    </font>
    <font>
      <sz val="11"/>
      <color rgb="FF000000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</font>
    <font>
      <sz val="8"/>
      <color rgb="FF44546A"/>
      <name val="Tahoma"/>
    </font>
    <font>
      <sz val="8"/>
      <color rgb="FF000000"/>
      <name val="Calibri"/>
    </font>
    <font>
      <sz val="11"/>
      <color rgb="FF000000"/>
      <name val="Calibri"/>
    </font>
    <font>
      <sz val="11"/>
      <color rgb="FFFFFFFF"/>
      <name val="Calibri"/>
    </font>
    <font>
      <sz val="8"/>
      <color rgb="FFFFFFFF"/>
      <name val="Tahoma"/>
    </font>
    <font>
      <sz val="8"/>
      <color rgb="FFFFFFFF"/>
      <name val="Tahoma"/>
    </font>
    <font>
      <sz val="8"/>
      <color rgb="FFFFFFFF"/>
      <name val="Tahoma"/>
    </font>
    <font>
      <sz val="11"/>
      <color rgb="FFFFFFFF"/>
      <name val="Calibri"/>
    </font>
    <font>
      <sz val="11"/>
      <color rgb="FF000000"/>
      <name val="Calibri"/>
    </font>
    <font>
      <sz val="8"/>
      <color rgb="FF44546A"/>
      <name val="Tahoma"/>
    </font>
    <font>
      <sz val="11"/>
      <color rgb="FF000000"/>
      <name val="Calibri"/>
    </font>
    <font>
      <sz val="8"/>
      <color rgb="FFFFFFFF"/>
      <name val="Tahoma"/>
    </font>
    <font>
      <sz val="11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b/>
      <sz val="8"/>
      <color rgb="FF000000"/>
      <name val="Calibri"/>
    </font>
    <font>
      <b/>
      <sz val="11"/>
      <color rgb="FFFA7D00"/>
      <name val="Calibri"/>
    </font>
    <font>
      <b/>
      <sz val="8"/>
      <color rgb="FF000000"/>
      <name val="Calibri"/>
    </font>
    <font>
      <sz val="8"/>
      <color rgb="FF44546A"/>
      <name val="Tahoma"/>
    </font>
    <font>
      <sz val="8"/>
      <color rgb="FFFFFFFF"/>
      <name val="Tahoma"/>
    </font>
    <font>
      <sz val="11"/>
      <color rgb="FF000000"/>
      <name val="Calibri"/>
    </font>
    <font>
      <sz val="8"/>
      <color rgb="FF44546A"/>
      <name val="Tahoma"/>
    </font>
    <font>
      <b/>
      <sz val="8"/>
      <color rgb="FF000000"/>
      <name val="Calibri"/>
    </font>
    <font>
      <sz val="8"/>
      <color rgb="FF44546A"/>
      <name val="Tahoma"/>
    </font>
    <font>
      <b/>
      <sz val="8"/>
      <color rgb="FF000000"/>
      <name val="Calibri"/>
    </font>
    <font>
      <b/>
      <sz val="8"/>
      <color rgb="FF000000"/>
      <name val="Calibri"/>
    </font>
    <font>
      <sz val="8"/>
      <color rgb="FF000000"/>
      <name val="Calibri"/>
    </font>
    <font>
      <sz val="11"/>
      <color rgb="FF000000"/>
      <name val="Calibri"/>
    </font>
    <font>
      <sz val="11"/>
      <color rgb="FF000000"/>
      <name val="Calibri"/>
    </font>
    <font>
      <sz val="11"/>
      <color rgb="FFFFFFFF"/>
      <name val="Calibri"/>
    </font>
    <font>
      <b/>
      <sz val="8"/>
      <color rgb="FF000000"/>
      <name val="Calibri"/>
    </font>
    <font>
      <sz val="11"/>
      <color rgb="FF000000"/>
      <name val="Calibri"/>
    </font>
    <font>
      <sz val="8"/>
      <color rgb="FF000000"/>
      <name val="Calibri"/>
    </font>
    <font>
      <b/>
      <sz val="8"/>
      <color rgb="FF000000"/>
      <name val="Calibri"/>
    </font>
    <font>
      <sz val="8"/>
      <color rgb="FF44546A"/>
      <name val="Tahoma"/>
    </font>
    <font>
      <sz val="11"/>
      <color rgb="FF000000"/>
      <name val="Calibri"/>
    </font>
    <font>
      <sz val="8"/>
      <color rgb="FF000000"/>
      <name val="Calibri"/>
    </font>
    <font>
      <b/>
      <sz val="11"/>
      <color rgb="FF3F3F3F"/>
      <name val="Calibri"/>
    </font>
    <font>
      <b/>
      <sz val="8"/>
      <color rgb="FF000000"/>
      <name val="Calibri"/>
    </font>
    <font>
      <sz val="8"/>
      <color rgb="FF000000"/>
      <name val="Calibri"/>
    </font>
    <font>
      <b/>
      <sz val="8"/>
      <color rgb="FF000000"/>
      <name val="Calibri"/>
    </font>
    <font>
      <sz val="8"/>
      <color rgb="FFFFFFFF"/>
      <name val="Tahoma"/>
    </font>
    <font>
      <sz val="11"/>
      <color rgb="FFFF0000"/>
      <name val="Calibri"/>
    </font>
    <font>
      <sz val="11"/>
      <color rgb="FF000000"/>
      <name val="Calibri"/>
    </font>
    <font>
      <sz val="8"/>
      <color rgb="FF000000"/>
      <name val="Calibri"/>
    </font>
    <font>
      <sz val="8"/>
      <color rgb="FFFFFFFF"/>
      <name val="Tahoma"/>
    </font>
    <font>
      <sz val="11"/>
      <color rgb="FFFFFFFF"/>
      <name val="Calibri"/>
    </font>
    <font>
      <b/>
      <sz val="15"/>
      <color rgb="FF44546A"/>
      <name val="Calibri"/>
    </font>
    <font>
      <sz val="11"/>
      <color rgb="FF9C6500"/>
      <name val="Calibri"/>
    </font>
    <font>
      <b/>
      <sz val="11"/>
      <color rgb="FF44546A"/>
      <name val="Calibri"/>
    </font>
    <font>
      <b/>
      <sz val="13"/>
      <color rgb="FF44546A"/>
      <name val="Calibri"/>
    </font>
    <font>
      <b/>
      <sz val="11"/>
      <color rgb="FF44546A"/>
      <name val="Calibri"/>
    </font>
    <font>
      <sz val="8"/>
      <color rgb="FF44546A"/>
      <name val="Tahoma"/>
    </font>
    <font>
      <sz val="8"/>
      <color rgb="FF44546A"/>
      <name val="Tahoma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11"/>
      <color rgb="FFFFFFFF"/>
      <name val="Calibri"/>
    </font>
    <font>
      <sz val="8"/>
      <color rgb="FFFFFFFF"/>
      <name val="Tahoma"/>
    </font>
    <font>
      <sz val="8"/>
      <color rgb="FF000000"/>
      <name val="Calibri"/>
    </font>
    <font>
      <sz val="8"/>
      <color rgb="FF44546A"/>
      <name val="Tahoma"/>
    </font>
    <font>
      <sz val="11"/>
      <color rgb="FF3F3F76"/>
      <name val="Calibri"/>
    </font>
    <font>
      <b/>
      <sz val="10"/>
      <color rgb="FF000000"/>
      <name val="Calibri"/>
    </font>
    <font>
      <i/>
      <sz val="11"/>
      <color rgb="FF7F7F7F"/>
      <name val="Calibri"/>
    </font>
    <font>
      <sz val="8"/>
      <color rgb="FF000000"/>
      <name val="Calibri"/>
    </font>
    <font>
      <sz val="11"/>
      <color rgb="FF000000"/>
      <name val="Calibri"/>
    </font>
    <font>
      <b/>
      <sz val="8"/>
      <color rgb="FF000000"/>
      <name val="Calibri"/>
    </font>
    <font>
      <b/>
      <sz val="8"/>
      <color rgb="FF000000"/>
      <name val="Calibri"/>
    </font>
    <font>
      <b/>
      <sz val="8"/>
      <color rgb="FF000000"/>
      <name val="Calibri"/>
    </font>
    <font>
      <b/>
      <sz val="8"/>
      <color rgb="FF000000"/>
      <name val="Calibri"/>
    </font>
    <font>
      <sz val="8"/>
      <color rgb="FF44546A"/>
      <name val="Tahoma"/>
    </font>
    <font>
      <b/>
      <sz val="8"/>
      <color rgb="FF000000"/>
      <name val="Calibri"/>
    </font>
    <font>
      <sz val="8"/>
      <color rgb="FFFFFFFF"/>
      <name val="Tahoma"/>
    </font>
    <font>
      <sz val="8"/>
      <color rgb="FFFFFFFF"/>
      <name val="Tahoma"/>
    </font>
    <font>
      <b/>
      <sz val="8"/>
      <color rgb="FF000000"/>
      <name val="Calibri"/>
    </font>
    <font>
      <b/>
      <sz val="10"/>
      <color rgb="FF000000"/>
      <name val="Calibri"/>
    </font>
    <font>
      <sz val="8"/>
      <color rgb="FF44546A"/>
      <name val="Tahoma"/>
    </font>
    <font>
      <sz val="8"/>
      <color rgb="FFFFFFFF"/>
      <name val="Tahoma"/>
    </font>
    <font>
      <sz val="8"/>
      <color rgb="FF44546A"/>
      <name val="Tahoma"/>
    </font>
    <font>
      <sz val="11"/>
      <color rgb="FF9C0006"/>
      <name val="Calibri"/>
    </font>
    <font>
      <b/>
      <sz val="11"/>
      <color rgb="FFFFFFFF"/>
      <name val="Calibri"/>
    </font>
    <font>
      <sz val="18"/>
      <color rgb="FF44546A"/>
      <name val="Calibri Light"/>
    </font>
    <font>
      <sz val="11"/>
      <color rgb="FFFA7D00"/>
      <name val="Calibri"/>
    </font>
    <font>
      <b/>
      <sz val="8"/>
      <color rgb="FF000000"/>
      <name val="Calibri"/>
    </font>
    <font>
      <sz val="8"/>
      <color rgb="FF44546A"/>
      <name val="Tahoma"/>
    </font>
    <font>
      <b/>
      <sz val="11"/>
      <color rgb="FF000000"/>
      <name val="Calibri"/>
    </font>
    <font>
      <sz val="8"/>
      <color rgb="FF44546A"/>
      <name val="Tahoma"/>
    </font>
    <font>
      <sz val="8"/>
      <color rgb="FF000000"/>
      <name val="Calibri"/>
    </font>
    <font>
      <b/>
      <sz val="10"/>
      <color rgb="FF000000"/>
      <name val="Calibri"/>
    </font>
    <font>
      <b/>
      <sz val="8"/>
      <color rgb="FF000000"/>
      <name val="Calibri"/>
    </font>
    <font>
      <sz val="8"/>
      <color rgb="FF000000"/>
      <name val="Calibri"/>
    </font>
    <font>
      <sz val="8"/>
      <color rgb="FF44546A"/>
      <name val="Tahoma"/>
    </font>
    <font>
      <b/>
      <sz val="10"/>
      <color rgb="FF000000"/>
      <name val="Calibri"/>
    </font>
    <font>
      <sz val="11"/>
      <color rgb="FF006100"/>
      <name val="Calibri"/>
    </font>
    <font>
      <b/>
      <sz val="10"/>
      <color rgb="FF000000"/>
      <name val="Calibri"/>
    </font>
    <font>
      <sz val="8"/>
      <color rgb="FFFFFFFF"/>
      <name val="Tahoma"/>
    </font>
    <font>
      <b/>
      <sz val="10"/>
      <color rgb="FF000000"/>
      <name val="Calibri"/>
    </font>
    <font>
      <sz val="8"/>
      <color rgb="FF44546A"/>
      <name val="Tahoma"/>
    </font>
    <font>
      <sz val="8"/>
      <color rgb="FF44546A"/>
      <name val="Tahoma"/>
    </font>
    <font>
      <sz val="8"/>
      <color rgb="FFFFFFFF"/>
      <name val="Tahoma"/>
    </font>
    <font>
      <sz val="11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8F8F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none"/>
    </fill>
    <fill>
      <patternFill patternType="solid">
        <fgColor theme="4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2F2F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none">
        <fgColor rgb="FFF2F2F2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595959"/>
        <bgColor indexed="64"/>
      </patternFill>
    </fill>
    <fill>
      <patternFill patternType="solid">
        <fgColor theme="4"/>
      </patternFill>
    </fill>
    <fill>
      <patternFill patternType="solid">
        <fgColor rgb="FFFFEB9C"/>
      </patternFill>
    </fill>
    <fill>
      <patternFill patternType="solid">
        <fgColor theme="9"/>
      </patternFill>
    </fill>
    <fill>
      <patternFill patternType="solid">
        <fgColor theme="8"/>
      </patternFill>
    </fill>
    <fill>
      <patternFill patternType="solid">
        <fgColor theme="7"/>
      </patternFill>
    </fill>
    <fill>
      <patternFill patternType="solid">
        <fgColor theme="6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C6EFCE"/>
      </patternFill>
    </fill>
  </fills>
  <borders count="48">
    <border>
      <left/>
      <right/>
      <top/>
      <bottom/>
      <diagonal/>
    </border>
    <border>
      <left/>
      <right/>
      <top style="thin">
        <color theme="3" tint="0.79992065187536243"/>
      </top>
      <bottom style="thin">
        <color theme="3" tint="0.79992065187536243"/>
      </bottom>
      <diagonal/>
    </border>
    <border>
      <left style="thin">
        <color theme="0"/>
      </left>
      <right style="thin">
        <color theme="0"/>
      </right>
      <top/>
      <bottom style="thick">
        <color theme="1" tint="0.49995422223578601"/>
      </bottom>
      <diagonal/>
    </border>
    <border>
      <left/>
      <right/>
      <top/>
      <bottom style="thin">
        <color theme="3" tint="0.79995117038483843"/>
      </bottom>
      <diagonal/>
    </border>
    <border>
      <left/>
      <right/>
      <top/>
      <bottom style="thick">
        <color theme="3" tint="0.39994506668294322"/>
      </bottom>
      <diagonal/>
    </border>
    <border>
      <left style="thin">
        <color theme="3" tint="0.79995117038483843"/>
      </left>
      <right style="thin">
        <color theme="3" tint="0.79995117038483843"/>
      </right>
      <top style="thin">
        <color theme="3" tint="0.79995117038483843"/>
      </top>
      <bottom style="thin">
        <color theme="3" tint="0.79995117038483843"/>
      </bottom>
      <diagonal/>
    </border>
    <border>
      <left style="thin">
        <color theme="0"/>
      </left>
      <right style="thin">
        <color theme="0"/>
      </right>
      <top/>
      <bottom style="thin">
        <color theme="3" tint="0.79995117038483843"/>
      </bottom>
      <diagonal/>
    </border>
    <border>
      <left/>
      <right/>
      <top style="thin">
        <color theme="3" tint="0.79995117038483843"/>
      </top>
      <bottom style="thin">
        <color theme="3" tint="0.79995117038483843"/>
      </bottom>
      <diagonal/>
    </border>
    <border>
      <left style="thin">
        <color theme="4" tint="0.79995117038483843"/>
      </left>
      <right style="thin">
        <color theme="4" tint="0.79995117038483843"/>
      </right>
      <top/>
      <bottom/>
      <diagonal/>
    </border>
    <border>
      <left style="thin">
        <color theme="3" tint="0.79995117038483843"/>
      </left>
      <right/>
      <top/>
      <bottom/>
      <diagonal/>
    </border>
    <border>
      <left style="thin">
        <color theme="3" tint="0.79995117038483843"/>
      </left>
      <right/>
      <top style="thin">
        <color theme="3" tint="0.79995117038483843"/>
      </top>
      <bottom style="thin">
        <color theme="3" tint="0.7999511703848384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theme="3"/>
      </bottom>
      <diagonal/>
    </border>
    <border>
      <left style="thin">
        <color theme="0" tint="-4.9958800012207406E-2"/>
      </left>
      <right style="thin">
        <color theme="0" tint="-4.9958800012207406E-2"/>
      </right>
      <top/>
      <bottom/>
      <diagonal/>
    </border>
    <border>
      <left style="dashed">
        <color rgb="FFC00000"/>
      </left>
      <right style="thin">
        <color theme="0" tint="-4.9958800012207406E-2"/>
      </right>
      <top style="dashed">
        <color rgb="FFC00000"/>
      </top>
      <bottom style="dashed">
        <color rgb="FFC00000"/>
      </bottom>
      <diagonal/>
    </border>
    <border>
      <left style="thin">
        <color theme="0" tint="-4.9958800012207406E-2"/>
      </left>
      <right style="thin">
        <color theme="0" tint="-4.9958800012207406E-2"/>
      </right>
      <top style="thin">
        <color theme="0" tint="-4.9958800012207406E-2"/>
      </top>
      <bottom style="thin">
        <color theme="0" tint="-4.9958800012207406E-2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  <border>
      <left style="thin">
        <color theme="0" tint="-4.9958800012207406E-2"/>
      </left>
      <right style="dashed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rgb="FFF2F2F2"/>
      </left>
      <right style="thin">
        <color rgb="FFF2F2F2"/>
      </right>
      <top style="dashed">
        <color rgb="FFC00000"/>
      </top>
      <bottom style="dashed">
        <color rgb="FFC00000"/>
      </bottom>
      <diagonal/>
    </border>
    <border>
      <left style="thin">
        <color rgb="FFF2F2F2"/>
      </left>
      <right style="dashed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rgb="FFFFFFFF" tint="-4.9958800012207406E-2"/>
      </left>
      <right style="thin">
        <color rgb="FFFFFFFF" tint="-4.9958800012207406E-2"/>
      </right>
      <top/>
      <bottom/>
      <diagonal/>
    </border>
    <border>
      <left style="dashed">
        <color rgb="FFC00000"/>
      </left>
      <right style="thin">
        <color rgb="FFFFFFFF" tint="-4.9958800012207406E-2"/>
      </right>
      <top style="dashed">
        <color rgb="FFC00000"/>
      </top>
      <bottom style="dashed">
        <color rgb="FFC00000"/>
      </bottom>
      <diagonal/>
    </border>
    <border>
      <left style="thin">
        <color rgb="FFFFFFFF" tint="-4.9958800012207406E-2"/>
      </left>
      <right style="dashed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rgb="FFFFFFFF" tint="-4.9958800012207406E-2"/>
      </left>
      <right style="thin">
        <color rgb="FFFFFFFF" tint="-4.9958800012207406E-2"/>
      </right>
      <top style="dashed">
        <color rgb="FFC00000"/>
      </top>
      <bottom style="dashed">
        <color rgb="FFC00000"/>
      </bottom>
      <diagonal/>
    </border>
    <border>
      <left style="thin">
        <color rgb="FFFFFFFF" tint="-4.9958800012207406E-2"/>
      </left>
      <right style="thin">
        <color rgb="FFF2F2F2"/>
      </right>
      <top style="dashed">
        <color rgb="FFC00000"/>
      </top>
      <bottom style="dashed">
        <color rgb="FFC00000"/>
      </bottom>
      <diagonal/>
    </border>
    <border>
      <left/>
      <right/>
      <top style="dashed">
        <color rgb="FFC00000"/>
      </top>
      <bottom style="dashed">
        <color rgb="FFC00000"/>
      </bottom>
      <diagonal/>
    </border>
    <border>
      <left style="thin">
        <color theme="0" tint="-4.9989318521683403E-2"/>
      </left>
      <right/>
      <top style="dashed">
        <color rgb="FFC00000"/>
      </top>
      <bottom style="dashed">
        <color rgb="FFC00000"/>
      </bottom>
      <diagonal/>
    </border>
    <border>
      <left style="thin">
        <color theme="0" tint="-4.9989318521683403E-2"/>
      </left>
      <right style="dashed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rgb="FFF2F2F2"/>
      </left>
      <right style="thin">
        <color rgb="FFF2F2F2"/>
      </right>
      <top style="dashed">
        <color rgb="FFC00000"/>
      </top>
      <bottom style="dashed">
        <color rgb="FFC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ashed">
        <color rgb="FFC00000"/>
      </top>
      <bottom style="dashed">
        <color rgb="FFC00000"/>
      </bottom>
      <diagonal/>
    </border>
    <border>
      <left style="thin">
        <color rgb="FFF2F2F2"/>
      </left>
      <right style="dashed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dashed">
        <color rgb="FFC00000"/>
      </left>
      <right style="thin">
        <color theme="0" tint="-4.9989318521683403E-2"/>
      </right>
      <top style="dashed">
        <color rgb="FFC00000"/>
      </top>
      <bottom style="dashed">
        <color rgb="FFC00000"/>
      </bottom>
      <diagonal/>
    </border>
    <border>
      <left style="thin">
        <color theme="0" tint="-4.9989318521683403E-2"/>
      </left>
      <right style="thin">
        <color rgb="FFF2F2F2"/>
      </right>
      <top style="dashed">
        <color rgb="FFC00000"/>
      </top>
      <bottom style="dashed">
        <color rgb="FFC00000"/>
      </bottom>
      <diagonal/>
    </border>
    <border>
      <left/>
      <right style="dashed">
        <color rgb="FFC00000"/>
      </right>
      <top style="dashed">
        <color rgb="FFC00000"/>
      </top>
      <bottom style="dashed">
        <color rgb="FFC00000"/>
      </bottom>
      <diagonal/>
    </border>
    <border>
      <left style="thin">
        <color rgb="FFF2F2F2"/>
      </left>
      <right style="thin">
        <color theme="0" tint="-4.9989318521683403E-2"/>
      </right>
      <top style="dashed">
        <color rgb="FFC00000"/>
      </top>
      <bottom style="dashed">
        <color rgb="FFC0000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  <diagonal/>
    </border>
  </borders>
  <cellStyleXfs count="81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30" fillId="0" borderId="0" applyFont="0" applyFill="0" applyBorder="0" applyAlignment="0" applyProtection="0"/>
    <xf numFmtId="164" fontId="130" fillId="0" borderId="0" applyFont="0" applyFill="0" applyBorder="0" applyAlignment="0"/>
    <xf numFmtId="10" fontId="130" fillId="0" borderId="0" applyFont="0" applyFill="0" applyBorder="0" applyAlignment="0"/>
    <xf numFmtId="1" fontId="130" fillId="0" borderId="0" applyFont="0" applyFill="0" applyBorder="0" applyAlignment="0" applyProtection="0"/>
    <xf numFmtId="0" fontId="130" fillId="0" borderId="1" applyNumberFormat="0" applyFont="0" applyFill="0" applyProtection="0">
      <alignment horizontal="left" indent="1"/>
    </xf>
    <xf numFmtId="165" fontId="130" fillId="0" borderId="0" applyFont="0" applyFill="0" applyBorder="0" applyAlignment="0" applyProtection="0"/>
    <xf numFmtId="4" fontId="130" fillId="0" borderId="0" applyFont="0" applyFill="0" applyBorder="0" applyAlignment="0" applyProtection="0"/>
    <xf numFmtId="166" fontId="130" fillId="0" borderId="0" applyFont="0" applyFill="0" applyBorder="0" applyAlignment="0" applyProtection="0"/>
    <xf numFmtId="0" fontId="3" fillId="2" borderId="2" applyNumberFormat="0" applyProtection="0">
      <alignment horizontal="center" vertical="center" wrapText="1"/>
    </xf>
    <xf numFmtId="0" fontId="130" fillId="0" borderId="0" applyNumberFormat="0" applyFont="0" applyFill="0" applyBorder="0" applyProtection="0">
      <alignment vertical="center"/>
    </xf>
    <xf numFmtId="0" fontId="130" fillId="0" borderId="0" applyNumberFormat="0" applyFont="0" applyFill="0" applyBorder="0" applyProtection="0">
      <alignment horizontal="left" vertical="center" wrapText="1"/>
    </xf>
    <xf numFmtId="0" fontId="130" fillId="0" borderId="3" applyNumberFormat="0" applyFont="0" applyFill="0" applyAlignment="0"/>
    <xf numFmtId="168" fontId="130" fillId="0" borderId="0" applyFont="0" applyFill="0" applyBorder="0" applyAlignment="0"/>
    <xf numFmtId="0" fontId="3" fillId="0" borderId="4" applyNumberFormat="0" applyFill="0" applyProtection="0">
      <alignment horizontal="center" vertical="center" wrapText="1"/>
    </xf>
    <xf numFmtId="0" fontId="2" fillId="3" borderId="0" applyNumberFormat="0" applyAlignment="0" applyProtection="0"/>
    <xf numFmtId="0" fontId="4" fillId="0" borderId="0" applyNumberFormat="0" applyFill="0" applyBorder="0" applyAlignment="0" applyProtection="0"/>
    <xf numFmtId="0" fontId="130" fillId="0" borderId="5" applyNumberFormat="0" applyFont="0" applyFill="0" applyAlignment="0" applyProtection="0"/>
    <xf numFmtId="0" fontId="130" fillId="2" borderId="6" applyNumberFormat="0" applyFont="0" applyAlignment="0"/>
    <xf numFmtId="0" fontId="3" fillId="4" borderId="5" applyFill="0">
      <alignment horizontal="center" vertical="center" wrapText="1"/>
    </xf>
    <xf numFmtId="0" fontId="5" fillId="0" borderId="7" applyNumberFormat="0" applyFont="0" applyFill="0">
      <alignment horizontal="center"/>
    </xf>
    <xf numFmtId="0" fontId="2" fillId="3" borderId="8" applyNumberFormat="0" applyProtection="0"/>
    <xf numFmtId="169" fontId="130" fillId="0" borderId="0" applyFont="0" applyFill="0" applyBorder="0" applyAlignment="0"/>
    <xf numFmtId="170" fontId="130" fillId="0" borderId="0" applyFont="0" applyFill="0" applyBorder="0" applyAlignment="0"/>
    <xf numFmtId="0" fontId="130" fillId="0" borderId="0" applyNumberFormat="0" applyFont="0" applyFill="0" applyBorder="0" applyProtection="0"/>
    <xf numFmtId="0" fontId="6" fillId="0" borderId="0" applyNumberFormat="0" applyFill="0" applyBorder="0" applyProtection="0">
      <alignment vertical="center" wrapText="1"/>
    </xf>
    <xf numFmtId="0" fontId="4" fillId="0" borderId="0" applyNumberFormat="0" applyFill="0" applyAlignment="0" applyProtection="0"/>
    <xf numFmtId="0" fontId="130" fillId="5" borderId="0" applyNumberFormat="0" applyFont="0" applyBorder="0" applyAlignment="0" applyProtection="0"/>
    <xf numFmtId="0" fontId="7" fillId="0" borderId="0" applyNumberFormat="0" applyFill="0" applyBorder="0" applyProtection="0">
      <alignment horizontal="right"/>
    </xf>
    <xf numFmtId="0" fontId="130" fillId="0" borderId="9" applyNumberFormat="0" applyFont="0" applyFill="0" applyAlignment="0" applyProtection="0"/>
    <xf numFmtId="0" fontId="2" fillId="0" borderId="0" applyNumberFormat="0" applyFill="0" applyBorder="0" applyAlignment="0" applyProtection="0"/>
    <xf numFmtId="171" fontId="130" fillId="0" borderId="0" applyFont="0" applyFill="0" applyBorder="0" applyAlignment="0" applyProtection="0"/>
    <xf numFmtId="0" fontId="130" fillId="0" borderId="10" applyNumberFormat="0" applyFont="0" applyFill="0" applyAlignment="0" applyProtection="0"/>
    <xf numFmtId="0" fontId="7" fillId="0" borderId="10" applyNumberFormat="0" applyFill="0" applyAlignment="0" applyProtection="0"/>
    <xf numFmtId="0" fontId="8" fillId="0" borderId="0" applyNumberFormat="0" applyFill="0" applyBorder="0" applyAlignment="0"/>
    <xf numFmtId="0" fontId="8" fillId="0" borderId="0" applyNumberFormat="0" applyFill="0" applyBorder="0" applyAlignment="0"/>
    <xf numFmtId="0" fontId="2" fillId="3" borderId="0" applyNumberFormat="0" applyProtection="0"/>
    <xf numFmtId="0" fontId="130" fillId="0" borderId="0" applyNumberFormat="0" applyFont="0" applyFill="0" applyBorder="0">
      <alignment horizontal="center" vertical="center" wrapText="1"/>
    </xf>
    <xf numFmtId="0" fontId="130" fillId="0" borderId="0" applyNumberFormat="0" applyFont="0" applyFill="0" applyAlignment="0" applyProtection="0"/>
    <xf numFmtId="0" fontId="3" fillId="0" borderId="6" applyNumberFormat="0" applyFill="0" applyAlignment="0"/>
    <xf numFmtId="0" fontId="7" fillId="0" borderId="11" applyNumberFormat="0" applyFill="0"/>
    <xf numFmtId="0" fontId="2" fillId="3" borderId="12" applyNumberFormat="0" applyAlignment="0"/>
    <xf numFmtId="0" fontId="3" fillId="0" borderId="0" applyNumberFormat="0" applyFill="0" applyBorder="0" applyProtection="0">
      <alignment horizontal="right" vertical="center"/>
    </xf>
    <xf numFmtId="0" fontId="3" fillId="0" borderId="0" applyNumberFormat="0" applyFill="0" applyBorder="0" applyProtection="0">
      <alignment horizontal="left"/>
    </xf>
    <xf numFmtId="0" fontId="3" fillId="0" borderId="0" applyNumberFormat="0" applyFill="0" applyBorder="0" applyProtection="0">
      <alignment horizontal="right" vertical="center" wrapText="1"/>
    </xf>
    <xf numFmtId="165" fontId="130" fillId="0" borderId="0" applyFont="0" applyFill="0" applyBorder="0" applyAlignment="0" applyProtection="0"/>
    <xf numFmtId="0" fontId="9" fillId="0" borderId="0" applyNumberFormat="0" applyFill="0" applyBorder="0" applyAlignment="0"/>
    <xf numFmtId="0" fontId="130" fillId="6" borderId="0" applyNumberFormat="0" applyFont="0" applyBorder="0" applyProtection="0">
      <alignment horizontal="right" vertical="center"/>
    </xf>
    <xf numFmtId="0" fontId="3" fillId="6" borderId="0" applyNumberFormat="0" applyBorder="0" applyProtection="0">
      <alignment horizontal="left" vertical="center" wrapText="1"/>
    </xf>
    <xf numFmtId="0" fontId="130" fillId="7" borderId="0" applyNumberFormat="0" applyFont="0" applyBorder="0" applyAlignment="0" applyProtection="0"/>
    <xf numFmtId="0" fontId="7" fillId="0" borderId="10" applyNumberFormat="0" applyFill="0" applyAlignment="0" applyProtection="0"/>
    <xf numFmtId="0" fontId="130" fillId="0" borderId="0" applyNumberFormat="0" applyFont="0" applyFill="0" applyBorder="0" applyProtection="0">
      <alignment horizontal="center" vertical="center" wrapText="1"/>
    </xf>
    <xf numFmtId="0" fontId="10" fillId="0" borderId="0" applyNumberFormat="0" applyFill="0" applyBorder="0" applyProtection="0">
      <alignment horizontal="right"/>
    </xf>
    <xf numFmtId="3" fontId="130" fillId="0" borderId="0" applyFont="0" applyFill="0" applyBorder="0" applyAlignment="0">
      <protection locked="0"/>
    </xf>
    <xf numFmtId="0" fontId="7" fillId="0" borderId="13" applyNumberFormat="0" applyFill="0">
      <alignment horizontal="left"/>
    </xf>
    <xf numFmtId="0" fontId="130" fillId="0" borderId="0" applyNumberFormat="0" applyFont="0" applyFill="0" applyBorder="0" applyProtection="0">
      <alignment horizontal="center" vertical="center"/>
    </xf>
    <xf numFmtId="0" fontId="13" fillId="8" borderId="14">
      <alignment horizontal="center" vertical="center"/>
    </xf>
    <xf numFmtId="0" fontId="13" fillId="8" borderId="14">
      <alignment horizontal="center" vertical="center"/>
    </xf>
    <xf numFmtId="0" fontId="18" fillId="0" borderId="14" applyNumberFormat="0">
      <alignment horizontal="center" vertical="center"/>
    </xf>
    <xf numFmtId="0" fontId="14" fillId="9" borderId="0">
      <alignment horizontal="left" vertical="center"/>
    </xf>
    <xf numFmtId="0" fontId="15" fillId="0" borderId="0">
      <alignment horizontal="left" vertical="center" indent="1"/>
    </xf>
    <xf numFmtId="0" fontId="14" fillId="0" borderId="15">
      <alignment horizontal="left" vertical="center"/>
    </xf>
    <xf numFmtId="165" fontId="16" fillId="9" borderId="14">
      <alignment horizontal="right" vertical="center"/>
    </xf>
    <xf numFmtId="165" fontId="15" fillId="0" borderId="14">
      <alignment horizontal="right" vertical="center"/>
    </xf>
    <xf numFmtId="165" fontId="15" fillId="10" borderId="16">
      <alignment horizontal="right" vertical="center"/>
    </xf>
    <xf numFmtId="165" fontId="17" fillId="0" borderId="17">
      <alignment horizontal="right" vertical="center"/>
    </xf>
    <xf numFmtId="164" fontId="15" fillId="0" borderId="14">
      <alignment horizontal="right" vertical="center"/>
    </xf>
    <xf numFmtId="164" fontId="16" fillId="9" borderId="14">
      <alignment horizontal="right" vertical="center"/>
    </xf>
    <xf numFmtId="165" fontId="15" fillId="10" borderId="14">
      <alignment horizontal="right" vertical="center"/>
    </xf>
    <xf numFmtId="164" fontId="17" fillId="0" borderId="16">
      <alignment horizontal="right" vertical="center"/>
    </xf>
    <xf numFmtId="0" fontId="13" fillId="0" borderId="18" applyNumberFormat="0" applyFont="0" applyFill="0" applyProtection="0"/>
    <xf numFmtId="168" fontId="17" fillId="0" borderId="19">
      <alignment horizontal="right" vertical="center"/>
    </xf>
    <xf numFmtId="0" fontId="13" fillId="10" borderId="14" applyNumberFormat="0" applyFont="0" applyBorder="0" applyProtection="0"/>
    <xf numFmtId="0" fontId="18" fillId="0" borderId="14" applyNumberFormat="0" applyProtection="0"/>
    <xf numFmtId="0" fontId="18" fillId="0" borderId="14">
      <alignment horizontal="center" vertical="center"/>
    </xf>
    <xf numFmtId="172" fontId="13" fillId="0" borderId="14">
      <alignment horizontal="right" vertical="center"/>
    </xf>
  </cellStyleXfs>
  <cellXfs count="166">
    <xf numFmtId="0" fontId="0" fillId="0" borderId="0" xfId="0"/>
    <xf numFmtId="0" fontId="12" fillId="8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11" borderId="0" xfId="0" quotePrefix="1" applyFill="1" applyAlignment="1">
      <alignment vertical="center"/>
    </xf>
    <xf numFmtId="0" fontId="0" fillId="0" borderId="0" xfId="0" applyFill="1" applyBorder="1"/>
    <xf numFmtId="0" fontId="0" fillId="0" borderId="0" xfId="0" quotePrefix="1" applyFill="1" applyBorder="1"/>
    <xf numFmtId="0" fontId="0" fillId="0" borderId="0" xfId="0" quotePrefix="1" applyAlignment="1"/>
    <xf numFmtId="0" fontId="0" fillId="0" borderId="0" xfId="0" applyAlignment="1"/>
    <xf numFmtId="0" fontId="0" fillId="0" borderId="0" xfId="0" quotePrefix="1"/>
    <xf numFmtId="0" fontId="11" fillId="0" borderId="0" xfId="0" applyFont="1" applyAlignment="1">
      <alignment horizontal="right" vertical="center"/>
    </xf>
    <xf numFmtId="0" fontId="12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3" fillId="0" borderId="0" xfId="0" quotePrefix="1" applyFont="1"/>
    <xf numFmtId="164" fontId="20" fillId="9" borderId="21" xfId="0" applyNumberFormat="1" applyFont="1" applyFill="1" applyBorder="1" applyAlignment="1" applyProtection="1">
      <alignment horizontal="right" vertical="center"/>
    </xf>
    <xf numFmtId="0" fontId="21" fillId="0" borderId="21" xfId="0" applyFont="1" applyFill="1" applyBorder="1"/>
    <xf numFmtId="164" fontId="15" fillId="0" borderId="21" xfId="0" applyNumberFormat="1" applyFont="1" applyFill="1" applyBorder="1" applyAlignment="1" applyProtection="1">
      <alignment horizontal="right" vertical="center"/>
    </xf>
    <xf numFmtId="165" fontId="15" fillId="0" borderId="21" xfId="0" applyNumberFormat="1" applyFont="1" applyFill="1" applyBorder="1" applyAlignment="1" applyProtection="1">
      <alignment horizontal="right" vertical="center"/>
    </xf>
    <xf numFmtId="165" fontId="20" fillId="9" borderId="21" xfId="0" applyNumberFormat="1" applyFont="1" applyFill="1" applyBorder="1" applyAlignment="1" applyProtection="1">
      <alignment horizontal="right" vertical="center"/>
    </xf>
    <xf numFmtId="0" fontId="22" fillId="9" borderId="0" xfId="0" applyNumberFormat="1" applyFont="1" applyFill="1" applyBorder="1" applyAlignment="1" applyProtection="1">
      <alignment horizontal="left" vertical="center"/>
    </xf>
    <xf numFmtId="0" fontId="21" fillId="8" borderId="21" xfId="0" applyNumberFormat="1" applyFont="1" applyFill="1" applyBorder="1" applyAlignment="1" applyProtection="1">
      <alignment horizontal="center" vertical="center"/>
    </xf>
    <xf numFmtId="0" fontId="22" fillId="0" borderId="22" xfId="0" applyNumberFormat="1" applyFont="1" applyFill="1" applyBorder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left" vertical="center" indent="1"/>
    </xf>
    <xf numFmtId="164" fontId="19" fillId="0" borderId="24" xfId="0" applyNumberFormat="1" applyFont="1" applyFill="1" applyBorder="1" applyAlignment="1" applyProtection="1">
      <alignment horizontal="right" vertical="center"/>
    </xf>
    <xf numFmtId="164" fontId="19" fillId="0" borderId="24" xfId="0" applyNumberFormat="1" applyFont="1" applyFill="1" applyBorder="1" applyAlignment="1" applyProtection="1">
      <alignment horizontal="right" vertical="center"/>
    </xf>
    <xf numFmtId="165" fontId="15" fillId="10" borderId="21" xfId="0" applyNumberFormat="1" applyFont="1" applyFill="1" applyBorder="1" applyAlignment="1" applyProtection="1">
      <alignment horizontal="right" vertical="center"/>
    </xf>
    <xf numFmtId="164" fontId="15" fillId="10" borderId="21" xfId="0" applyNumberFormat="1" applyFont="1" applyFill="1" applyBorder="1" applyAlignment="1" applyProtection="1">
      <alignment horizontal="right" vertical="center"/>
    </xf>
    <xf numFmtId="164" fontId="19" fillId="0" borderId="24" xfId="0" applyNumberFormat="1" applyFont="1" applyFill="1" applyBorder="1" applyAlignment="1" applyProtection="1">
      <alignment horizontal="right" vertical="center"/>
    </xf>
    <xf numFmtId="164" fontId="19" fillId="0" borderId="24" xfId="0" applyNumberFormat="1" applyFont="1" applyFill="1" applyBorder="1" applyAlignment="1" applyProtection="1">
      <alignment horizontal="right" vertical="center"/>
    </xf>
    <xf numFmtId="165" fontId="15" fillId="10" borderId="21" xfId="0" applyNumberFormat="1" applyFont="1" applyFill="1" applyBorder="1" applyAlignment="1" applyProtection="1">
      <alignment horizontal="right" vertical="center"/>
    </xf>
    <xf numFmtId="165" fontId="21" fillId="0" borderId="21" xfId="0" applyNumberFormat="1" applyFont="1" applyFill="1" applyBorder="1" applyAlignment="1" applyProtection="1">
      <alignment horizontal="right" vertical="center"/>
    </xf>
    <xf numFmtId="165" fontId="21" fillId="0" borderId="21" xfId="0" applyNumberFormat="1" applyFont="1" applyFill="1" applyBorder="1" applyAlignment="1" applyProtection="1">
      <alignment horizontal="right" vertical="center"/>
    </xf>
    <xf numFmtId="164" fontId="21" fillId="0" borderId="21" xfId="0" applyNumberFormat="1" applyFont="1" applyFill="1" applyBorder="1" applyAlignment="1" applyProtection="1">
      <alignment horizontal="right" vertical="center"/>
    </xf>
    <xf numFmtId="165" fontId="20" fillId="9" borderId="21" xfId="0" applyNumberFormat="1" applyFont="1" applyFill="1" applyBorder="1" applyAlignment="1" applyProtection="1">
      <alignment horizontal="right" vertical="center"/>
    </xf>
    <xf numFmtId="165" fontId="20" fillId="9" borderId="21" xfId="0" applyNumberFormat="1" applyFont="1" applyFill="1" applyBorder="1" applyAlignment="1" applyProtection="1">
      <alignment horizontal="right" vertical="center"/>
    </xf>
    <xf numFmtId="164" fontId="15" fillId="0" borderId="21" xfId="0" applyNumberFormat="1" applyFont="1" applyFill="1" applyBorder="1" applyAlignment="1" applyProtection="1">
      <alignment horizontal="right" vertical="center"/>
    </xf>
    <xf numFmtId="164" fontId="21" fillId="0" borderId="21" xfId="0" applyNumberFormat="1" applyFont="1" applyFill="1" applyBorder="1" applyAlignment="1" applyProtection="1">
      <alignment horizontal="right" vertical="center"/>
    </xf>
    <xf numFmtId="164" fontId="15" fillId="10" borderId="21" xfId="0" applyNumberFormat="1" applyFont="1" applyFill="1" applyBorder="1" applyAlignment="1" applyProtection="1">
      <alignment horizontal="right" vertical="center"/>
    </xf>
    <xf numFmtId="0" fontId="22" fillId="9" borderId="0" xfId="0" applyNumberFormat="1" applyFont="1" applyFill="1" applyAlignment="1" applyProtection="1">
      <alignment horizontal="left" vertical="center"/>
    </xf>
    <xf numFmtId="0" fontId="22" fillId="9" borderId="21" xfId="0" applyNumberFormat="1" applyFont="1" applyFill="1" applyBorder="1" applyAlignment="1" applyProtection="1">
      <alignment horizontal="left" vertical="center"/>
    </xf>
    <xf numFmtId="164" fontId="20" fillId="9" borderId="21" xfId="0" applyNumberFormat="1" applyFont="1" applyFill="1" applyBorder="1" applyAlignment="1" applyProtection="1">
      <alignment horizontal="right" vertical="center"/>
    </xf>
    <xf numFmtId="164" fontId="20" fillId="9" borderId="21" xfId="0" applyNumberFormat="1" applyFont="1" applyFill="1" applyBorder="1" applyAlignment="1" applyProtection="1">
      <alignment horizontal="right" vertical="center"/>
    </xf>
    <xf numFmtId="164" fontId="19" fillId="0" borderId="23" xfId="0" applyNumberFormat="1" applyFont="1" applyFill="1" applyBorder="1" applyAlignment="1" applyProtection="1">
      <alignment horizontal="right" vertical="center"/>
    </xf>
    <xf numFmtId="165" fontId="19" fillId="0" borderId="25" xfId="0" applyNumberFormat="1" applyFont="1" applyFill="1" applyBorder="1" applyAlignment="1" applyProtection="1">
      <alignment horizontal="right" vertical="center"/>
    </xf>
    <xf numFmtId="165" fontId="19" fillId="0" borderId="19" xfId="0" applyNumberFormat="1" applyFont="1" applyFill="1" applyBorder="1" applyAlignment="1" applyProtection="1">
      <alignment horizontal="right" vertical="center"/>
    </xf>
    <xf numFmtId="165" fontId="19" fillId="0" borderId="19" xfId="0" applyNumberFormat="1" applyFont="1" applyFill="1" applyBorder="1" applyAlignment="1" applyProtection="1">
      <alignment horizontal="right" vertical="center"/>
    </xf>
    <xf numFmtId="165" fontId="19" fillId="0" borderId="19" xfId="0" applyNumberFormat="1" applyFont="1" applyFill="1" applyBorder="1" applyAlignment="1" applyProtection="1">
      <alignment horizontal="right" vertical="center"/>
    </xf>
    <xf numFmtId="165" fontId="19" fillId="0" borderId="20" xfId="0" applyNumberFormat="1" applyFont="1" applyFill="1" applyBorder="1" applyAlignment="1" applyProtection="1">
      <alignment horizontal="right" vertical="center"/>
    </xf>
    <xf numFmtId="0" fontId="23" fillId="12" borderId="0" xfId="0" applyFont="1" applyFill="1"/>
    <xf numFmtId="0" fontId="0" fillId="0" borderId="28" xfId="0" applyBorder="1"/>
    <xf numFmtId="164" fontId="24" fillId="13" borderId="29" xfId="0" applyNumberFormat="1" applyFont="1" applyFill="1" applyBorder="1" applyAlignment="1">
      <alignment horizontal="right" vertical="center"/>
    </xf>
    <xf numFmtId="0" fontId="25" fillId="14" borderId="0" xfId="0" applyFont="1" applyFill="1"/>
    <xf numFmtId="0" fontId="26" fillId="15" borderId="0" xfId="0" applyFont="1" applyFill="1"/>
    <xf numFmtId="0" fontId="27" fillId="16" borderId="0" xfId="0" applyFont="1" applyFill="1"/>
    <xf numFmtId="0" fontId="28" fillId="17" borderId="0" xfId="0" applyFont="1" applyFill="1"/>
    <xf numFmtId="165" fontId="29" fillId="18" borderId="30" xfId="0" applyNumberFormat="1" applyFont="1" applyFill="1" applyBorder="1" applyAlignment="1">
      <alignment horizontal="right" vertical="center"/>
    </xf>
    <xf numFmtId="164" fontId="30" fillId="19" borderId="30" xfId="0" applyNumberFormat="1" applyFont="1" applyFill="1" applyBorder="1" applyAlignment="1">
      <alignment horizontal="right" vertical="center"/>
    </xf>
    <xf numFmtId="0" fontId="31" fillId="20" borderId="0" xfId="0" applyFont="1" applyFill="1"/>
    <xf numFmtId="0" fontId="32" fillId="21" borderId="0" xfId="0" applyFont="1" applyFill="1"/>
    <xf numFmtId="172" fontId="33" fillId="13" borderId="30" xfId="0" applyNumberFormat="1" applyFont="1" applyFill="1" applyBorder="1" applyAlignment="1">
      <alignment horizontal="right" vertical="center"/>
    </xf>
    <xf numFmtId="0" fontId="34" fillId="13" borderId="30" xfId="0" applyNumberFormat="1" applyFont="1" applyFill="1" applyBorder="1" applyAlignment="1">
      <alignment horizontal="center" vertical="center"/>
    </xf>
    <xf numFmtId="0" fontId="35" fillId="13" borderId="30" xfId="0" applyFont="1" applyFill="1" applyBorder="1"/>
    <xf numFmtId="0" fontId="36" fillId="22" borderId="0" xfId="0" applyFont="1" applyFill="1"/>
    <xf numFmtId="0" fontId="0" fillId="18" borderId="0" xfId="0" applyFill="1"/>
    <xf numFmtId="0" fontId="37" fillId="23" borderId="0" xfId="0" applyFont="1" applyFill="1"/>
    <xf numFmtId="165" fontId="38" fillId="18" borderId="30" xfId="0" applyNumberFormat="1" applyFont="1" applyFill="1" applyBorder="1" applyAlignment="1">
      <alignment horizontal="right" vertical="center"/>
    </xf>
    <xf numFmtId="0" fontId="39" fillId="24" borderId="0" xfId="0" applyFont="1" applyFill="1"/>
    <xf numFmtId="165" fontId="40" fillId="25" borderId="30" xfId="0" applyNumberFormat="1" applyFont="1" applyFill="1" applyBorder="1" applyAlignment="1">
      <alignment horizontal="right" vertical="center"/>
    </xf>
    <xf numFmtId="0" fontId="41" fillId="26" borderId="0" xfId="0" applyFont="1" applyFill="1"/>
    <xf numFmtId="0" fontId="42" fillId="27" borderId="0" xfId="0" applyFont="1" applyFill="1"/>
    <xf numFmtId="0" fontId="43" fillId="28" borderId="0" xfId="0" applyFont="1" applyFill="1"/>
    <xf numFmtId="174" fontId="0" fillId="0" borderId="0" xfId="0" applyNumberFormat="1"/>
    <xf numFmtId="165" fontId="44" fillId="13" borderId="31" xfId="0" applyNumberFormat="1" applyFont="1" applyFill="1" applyBorder="1" applyAlignment="1">
      <alignment horizontal="right" vertical="center"/>
    </xf>
    <xf numFmtId="0" fontId="45" fillId="29" borderId="32" xfId="0" applyFont="1" applyFill="1" applyBorder="1"/>
    <xf numFmtId="164" fontId="46" fillId="25" borderId="28" xfId="0" applyNumberFormat="1" applyFont="1" applyFill="1" applyBorder="1" applyAlignment="1">
      <alignment horizontal="right" vertical="center"/>
    </xf>
    <xf numFmtId="0" fontId="0" fillId="0" borderId="26" xfId="0" applyBorder="1"/>
    <xf numFmtId="41" fontId="0" fillId="0" borderId="0" xfId="0" applyNumberFormat="1"/>
    <xf numFmtId="165" fontId="47" fillId="13" borderId="30" xfId="0" applyNumberFormat="1" applyFont="1" applyFill="1" applyBorder="1" applyAlignment="1">
      <alignment horizontal="right" vertical="center"/>
    </xf>
    <xf numFmtId="165" fontId="48" fillId="25" borderId="30" xfId="0" applyNumberFormat="1" applyFont="1" applyFill="1" applyBorder="1" applyAlignment="1">
      <alignment horizontal="right" vertical="center"/>
    </xf>
    <xf numFmtId="0" fontId="49" fillId="30" borderId="0" xfId="0" applyFont="1" applyFill="1"/>
    <xf numFmtId="0" fontId="0" fillId="31" borderId="33" xfId="0" applyFill="1" applyBorder="1"/>
    <xf numFmtId="165" fontId="50" fillId="18" borderId="30" xfId="0" applyNumberFormat="1" applyFont="1" applyFill="1" applyBorder="1" applyAlignment="1">
      <alignment horizontal="right" vertical="center"/>
    </xf>
    <xf numFmtId="164" fontId="51" fillId="25" borderId="34" xfId="0" applyNumberFormat="1" applyFont="1" applyFill="1" applyBorder="1" applyAlignment="1">
      <alignment horizontal="right" vertical="center"/>
    </xf>
    <xf numFmtId="165" fontId="52" fillId="18" borderId="30" xfId="0" applyNumberFormat="1" applyFont="1" applyFill="1" applyBorder="1" applyAlignment="1">
      <alignment horizontal="right" vertical="center"/>
    </xf>
    <xf numFmtId="165" fontId="53" fillId="13" borderId="31" xfId="0" applyNumberFormat="1" applyFont="1" applyFill="1" applyBorder="1" applyAlignment="1">
      <alignment horizontal="right" vertical="center"/>
    </xf>
    <xf numFmtId="165" fontId="54" fillId="13" borderId="35" xfId="0" applyNumberFormat="1" applyFont="1" applyFill="1" applyBorder="1" applyAlignment="1">
      <alignment horizontal="right" vertical="center"/>
    </xf>
    <xf numFmtId="165" fontId="55" fillId="19" borderId="30" xfId="0" applyNumberFormat="1" applyFont="1" applyFill="1" applyBorder="1" applyAlignment="1">
      <alignment horizontal="right" vertical="center"/>
    </xf>
    <xf numFmtId="0" fontId="56" fillId="32" borderId="0" xfId="0" applyFont="1" applyFill="1"/>
    <xf numFmtId="0" fontId="57" fillId="33" borderId="0" xfId="0" applyFont="1" applyFill="1"/>
    <xf numFmtId="0" fontId="58" fillId="34" borderId="0" xfId="0" applyFont="1" applyFill="1"/>
    <xf numFmtId="165" fontId="59" fillId="25" borderId="31" xfId="0" applyNumberFormat="1" applyFont="1" applyFill="1" applyBorder="1" applyAlignment="1">
      <alignment horizontal="right" vertical="center"/>
    </xf>
    <xf numFmtId="0" fontId="60" fillId="35" borderId="0" xfId="0" applyFont="1" applyFill="1"/>
    <xf numFmtId="164" fontId="61" fillId="19" borderId="30" xfId="0" applyNumberFormat="1" applyFont="1" applyFill="1" applyBorder="1" applyAlignment="1">
      <alignment horizontal="right" vertical="center"/>
    </xf>
    <xf numFmtId="164" fontId="62" fillId="13" borderId="34" xfId="0" applyNumberFormat="1" applyFont="1" applyFill="1" applyBorder="1" applyAlignment="1">
      <alignment horizontal="right" vertical="center"/>
    </xf>
    <xf numFmtId="164" fontId="63" fillId="13" borderId="30" xfId="0" applyNumberFormat="1" applyFont="1" applyFill="1" applyBorder="1" applyAlignment="1">
      <alignment horizontal="right" vertical="center"/>
    </xf>
    <xf numFmtId="0" fontId="64" fillId="13" borderId="0" xfId="0" applyNumberFormat="1" applyFont="1" applyFill="1"/>
    <xf numFmtId="165" fontId="65" fillId="19" borderId="30" xfId="0" applyNumberFormat="1" applyFont="1" applyFill="1" applyBorder="1" applyAlignment="1">
      <alignment horizontal="right" vertical="center"/>
    </xf>
    <xf numFmtId="43" fontId="0" fillId="0" borderId="0" xfId="0" applyNumberFormat="1"/>
    <xf numFmtId="0" fontId="66" fillId="29" borderId="36" xfId="0" applyFont="1" applyFill="1" applyBorder="1"/>
    <xf numFmtId="165" fontId="67" fillId="25" borderId="31" xfId="0" applyNumberFormat="1" applyFont="1" applyFill="1" applyBorder="1" applyAlignment="1">
      <alignment horizontal="right" vertical="center"/>
    </xf>
    <xf numFmtId="165" fontId="68" fillId="19" borderId="30" xfId="0" applyNumberFormat="1" applyFont="1" applyFill="1" applyBorder="1" applyAlignment="1">
      <alignment horizontal="right" vertical="center"/>
    </xf>
    <xf numFmtId="164" fontId="69" fillId="13" borderId="34" xfId="0" applyNumberFormat="1" applyFont="1" applyFill="1" applyBorder="1" applyAlignment="1">
      <alignment horizontal="right" vertical="center"/>
    </xf>
    <xf numFmtId="164" fontId="70" fillId="13" borderId="30" xfId="0" applyNumberFormat="1" applyFont="1" applyFill="1" applyBorder="1" applyAlignment="1">
      <alignment horizontal="right" vertical="center"/>
    </xf>
    <xf numFmtId="0" fontId="71" fillId="0" borderId="0" xfId="0" applyFont="1"/>
    <xf numFmtId="0" fontId="72" fillId="13" borderId="0" xfId="0" applyNumberFormat="1" applyFont="1" applyFill="1"/>
    <xf numFmtId="164" fontId="73" fillId="19" borderId="30" xfId="0" applyNumberFormat="1" applyFont="1" applyFill="1" applyBorder="1" applyAlignment="1">
      <alignment horizontal="right" vertical="center"/>
    </xf>
    <xf numFmtId="173" fontId="0" fillId="0" borderId="0" xfId="0" applyNumberFormat="1"/>
    <xf numFmtId="0" fontId="74" fillId="36" borderId="30" xfId="0" applyNumberFormat="1" applyFont="1" applyFill="1" applyBorder="1" applyAlignment="1">
      <alignment horizontal="center" vertical="center"/>
    </xf>
    <xf numFmtId="0" fontId="75" fillId="37" borderId="0" xfId="0" applyFont="1" applyFill="1"/>
    <xf numFmtId="0" fontId="76" fillId="0" borderId="37" xfId="0" applyFont="1" applyBorder="1"/>
    <xf numFmtId="0" fontId="77" fillId="38" borderId="0" xfId="0" applyFont="1" applyFill="1"/>
    <xf numFmtId="0" fontId="78" fillId="0" borderId="0" xfId="0" applyFont="1"/>
    <xf numFmtId="0" fontId="79" fillId="0" borderId="38" xfId="0" applyFont="1" applyBorder="1"/>
    <xf numFmtId="0" fontId="80" fillId="0" borderId="39" xfId="0" applyFont="1" applyBorder="1"/>
    <xf numFmtId="164" fontId="81" fillId="18" borderId="30" xfId="0" applyNumberFormat="1" applyFont="1" applyFill="1" applyBorder="1" applyAlignment="1">
      <alignment horizontal="right" vertical="center"/>
    </xf>
    <xf numFmtId="165" fontId="82" fillId="18" borderId="30" xfId="0" applyNumberFormat="1" applyFont="1" applyFill="1" applyBorder="1" applyAlignment="1">
      <alignment horizontal="right" vertical="center"/>
    </xf>
    <xf numFmtId="0" fontId="83" fillId="39" borderId="0" xfId="0" applyFont="1" applyFill="1"/>
    <xf numFmtId="0" fontId="84" fillId="40" borderId="0" xfId="0" applyFont="1" applyFill="1"/>
    <xf numFmtId="0" fontId="85" fillId="41" borderId="0" xfId="0" applyFont="1" applyFill="1"/>
    <xf numFmtId="0" fontId="86" fillId="42" borderId="0" xfId="0" applyFont="1" applyFill="1"/>
    <xf numFmtId="0" fontId="87" fillId="43" borderId="0" xfId="0" applyFont="1" applyFill="1"/>
    <xf numFmtId="164" fontId="88" fillId="25" borderId="30" xfId="0" applyNumberFormat="1" applyFont="1" applyFill="1" applyBorder="1" applyAlignment="1">
      <alignment horizontal="right" vertical="center"/>
    </xf>
    <xf numFmtId="164" fontId="89" fillId="19" borderId="30" xfId="0" applyNumberFormat="1" applyFont="1" applyFill="1" applyBorder="1" applyAlignment="1">
      <alignment horizontal="right" vertical="center"/>
    </xf>
    <xf numFmtId="0" fontId="90" fillId="13" borderId="0" xfId="0" applyNumberFormat="1" applyFont="1" applyFill="1" applyAlignment="1">
      <alignment horizontal="left" vertical="center" indent="1"/>
    </xf>
    <xf numFmtId="0" fontId="91" fillId="44" borderId="32" xfId="0" applyFont="1" applyFill="1" applyBorder="1"/>
    <xf numFmtId="0" fontId="92" fillId="13" borderId="40" xfId="0" applyNumberFormat="1" applyFont="1" applyFill="1" applyBorder="1" applyAlignment="1">
      <alignment horizontal="left" vertical="center"/>
    </xf>
    <xf numFmtId="0" fontId="93" fillId="0" borderId="0" xfId="0" applyFont="1"/>
    <xf numFmtId="165" fontId="94" fillId="19" borderId="30" xfId="0" applyNumberFormat="1" applyFont="1" applyFill="1" applyBorder="1" applyAlignment="1">
      <alignment horizontal="right" vertical="center"/>
    </xf>
    <xf numFmtId="0" fontId="95" fillId="13" borderId="0" xfId="0" applyNumberFormat="1" applyFont="1" applyFill="1"/>
    <xf numFmtId="164" fontId="96" fillId="13" borderId="28" xfId="0" applyNumberFormat="1" applyFont="1" applyFill="1" applyBorder="1" applyAlignment="1">
      <alignment horizontal="right" vertical="center"/>
    </xf>
    <xf numFmtId="0" fontId="0" fillId="0" borderId="27" xfId="0" applyBorder="1"/>
    <xf numFmtId="165" fontId="97" fillId="25" borderId="35" xfId="0" applyNumberFormat="1" applyFont="1" applyFill="1" applyBorder="1" applyAlignment="1">
      <alignment horizontal="right" vertical="center"/>
    </xf>
    <xf numFmtId="165" fontId="98" fillId="25" borderId="41" xfId="0" applyNumberFormat="1" applyFont="1" applyFill="1" applyBorder="1" applyAlignment="1">
      <alignment horizontal="right" vertical="center"/>
    </xf>
    <xf numFmtId="164" fontId="99" fillId="25" borderId="34" xfId="0" applyNumberFormat="1" applyFont="1" applyFill="1" applyBorder="1" applyAlignment="1">
      <alignment horizontal="right" vertical="center"/>
    </xf>
    <xf numFmtId="164" fontId="100" fillId="18" borderId="30" xfId="0" applyNumberFormat="1" applyFont="1" applyFill="1" applyBorder="1" applyAlignment="1">
      <alignment horizontal="right" vertical="center"/>
    </xf>
    <xf numFmtId="0" fontId="0" fillId="0" borderId="42" xfId="0" applyBorder="1"/>
    <xf numFmtId="164" fontId="101" fillId="25" borderId="34" xfId="0" applyNumberFormat="1" applyFont="1" applyFill="1" applyBorder="1" applyAlignment="1">
      <alignment horizontal="right" vertical="center"/>
    </xf>
    <xf numFmtId="175" fontId="0" fillId="0" borderId="0" xfId="0" applyNumberFormat="1"/>
    <xf numFmtId="165" fontId="102" fillId="13" borderId="30" xfId="0" applyNumberFormat="1" applyFont="1" applyFill="1" applyBorder="1" applyAlignment="1">
      <alignment horizontal="right" vertical="center"/>
    </xf>
    <xf numFmtId="164" fontId="103" fillId="13" borderId="30" xfId="0" applyNumberFormat="1" applyFont="1" applyFill="1" applyBorder="1" applyAlignment="1">
      <alignment horizontal="right" vertical="center"/>
    </xf>
    <xf numFmtId="164" fontId="104" fillId="13" borderId="43" xfId="0" applyNumberFormat="1" applyFont="1" applyFill="1" applyBorder="1" applyAlignment="1">
      <alignment horizontal="right" vertical="center"/>
    </xf>
    <xf numFmtId="0" fontId="105" fillId="19" borderId="0" xfId="0" applyNumberFormat="1" applyFont="1" applyFill="1" applyAlignment="1">
      <alignment horizontal="left" vertical="center"/>
    </xf>
    <xf numFmtId="164" fontId="106" fillId="18" borderId="30" xfId="0" applyNumberFormat="1" applyFont="1" applyFill="1" applyBorder="1" applyAlignment="1">
      <alignment horizontal="right" vertical="center"/>
    </xf>
    <xf numFmtId="165" fontId="107" fillId="13" borderId="30" xfId="0" applyNumberFormat="1" applyFont="1" applyFill="1" applyBorder="1" applyAlignment="1">
      <alignment horizontal="right" vertical="center"/>
    </xf>
    <xf numFmtId="164" fontId="108" fillId="13" borderId="30" xfId="0" applyNumberFormat="1" applyFont="1" applyFill="1" applyBorder="1" applyAlignment="1">
      <alignment horizontal="right" vertical="center"/>
    </xf>
    <xf numFmtId="0" fontId="109" fillId="45" borderId="0" xfId="0" applyFont="1" applyFill="1"/>
    <xf numFmtId="0" fontId="110" fillId="46" borderId="44" xfId="0" applyFont="1" applyFill="1" applyBorder="1"/>
    <xf numFmtId="9" fontId="0" fillId="0" borderId="0" xfId="0" applyNumberFormat="1"/>
    <xf numFmtId="0" fontId="111" fillId="0" borderId="0" xfId="0" applyFont="1"/>
    <xf numFmtId="0" fontId="112" fillId="0" borderId="45" xfId="0" applyFont="1" applyBorder="1"/>
    <xf numFmtId="165" fontId="113" fillId="13" borderId="31" xfId="0" applyNumberFormat="1" applyFont="1" applyFill="1" applyBorder="1" applyAlignment="1">
      <alignment horizontal="right" vertical="center"/>
    </xf>
    <xf numFmtId="164" fontId="114" fillId="13" borderId="30" xfId="0" applyNumberFormat="1" applyFont="1" applyFill="1" applyBorder="1" applyAlignment="1">
      <alignment horizontal="right" vertical="center"/>
    </xf>
    <xf numFmtId="0" fontId="115" fillId="0" borderId="46" xfId="0" applyFont="1" applyBorder="1"/>
    <xf numFmtId="165" fontId="116" fillId="13" borderId="30" xfId="0" applyNumberFormat="1" applyFont="1" applyFill="1" applyBorder="1" applyAlignment="1">
      <alignment horizontal="right" vertical="center"/>
    </xf>
    <xf numFmtId="165" fontId="117" fillId="19" borderId="30" xfId="0" applyNumberFormat="1" applyFont="1" applyFill="1" applyBorder="1" applyAlignment="1">
      <alignment horizontal="right" vertical="center"/>
    </xf>
    <xf numFmtId="0" fontId="118" fillId="19" borderId="0" xfId="0" applyNumberFormat="1" applyFont="1" applyFill="1" applyAlignment="1">
      <alignment horizontal="left" vertical="center"/>
    </xf>
    <xf numFmtId="165" fontId="119" fillId="13" borderId="47" xfId="0" applyNumberFormat="1" applyFont="1" applyFill="1" applyBorder="1" applyAlignment="1">
      <alignment horizontal="right" vertical="center"/>
    </xf>
    <xf numFmtId="164" fontId="120" fillId="19" borderId="30" xfId="0" applyNumberFormat="1" applyFont="1" applyFill="1" applyBorder="1" applyAlignment="1">
      <alignment horizontal="right" vertical="center"/>
    </xf>
    <xf numFmtId="165" fontId="121" fillId="18" borderId="29" xfId="0" applyNumberFormat="1" applyFont="1" applyFill="1" applyBorder="1" applyAlignment="1">
      <alignment horizontal="right" vertical="center"/>
    </xf>
    <xf numFmtId="0" fontId="122" fillId="19" borderId="0" xfId="0" applyNumberFormat="1" applyFont="1" applyFill="1" applyAlignment="1">
      <alignment horizontal="left" vertical="center"/>
    </xf>
    <xf numFmtId="0" fontId="123" fillId="47" borderId="0" xfId="0" applyFont="1" applyFill="1"/>
    <xf numFmtId="0" fontId="124" fillId="19" borderId="30" xfId="0" applyNumberFormat="1" applyFont="1" applyFill="1" applyBorder="1" applyAlignment="1">
      <alignment horizontal="left" vertical="center"/>
    </xf>
    <xf numFmtId="0" fontId="125" fillId="13" borderId="30" xfId="0" applyFont="1" applyFill="1" applyBorder="1" applyAlignment="1">
      <alignment horizontal="center" vertical="center"/>
    </xf>
    <xf numFmtId="0" fontId="126" fillId="13" borderId="40" xfId="0" applyNumberFormat="1" applyFont="1" applyFill="1" applyBorder="1" applyAlignment="1">
      <alignment horizontal="left" vertical="center"/>
    </xf>
    <xf numFmtId="164" fontId="127" fillId="18" borderId="30" xfId="0" applyNumberFormat="1" applyFont="1" applyFill="1" applyBorder="1" applyAlignment="1">
      <alignment horizontal="right" vertical="center"/>
    </xf>
    <xf numFmtId="0" fontId="128" fillId="13" borderId="0" xfId="0" applyNumberFormat="1" applyFont="1" applyFill="1" applyAlignment="1">
      <alignment horizontal="left" vertical="center" indent="1"/>
    </xf>
    <xf numFmtId="164" fontId="129" fillId="25" borderId="30" xfId="0" applyNumberFormat="1" applyFont="1" applyFill="1" applyBorder="1" applyAlignment="1">
      <alignment horizontal="right" vertical="center"/>
    </xf>
  </cellXfs>
  <cellStyles count="81">
    <cellStyle name="%0." xfId="6"/>
    <cellStyle name="%0.0" xfId="7"/>
    <cellStyle name="%0.00" xfId="8"/>
    <cellStyle name="0Nachkomma" xfId="9"/>
    <cellStyle name="1_left_Indent" xfId="10"/>
    <cellStyle name="1Nachkomma" xfId="11"/>
    <cellStyle name="2Nachkomma" xfId="12"/>
    <cellStyle name="3Nachkomma" xfId="13"/>
    <cellStyle name="ACT" xfId="14"/>
    <cellStyle name="Alignment_Vertical_center" xfId="15"/>
    <cellStyle name="Amounts left nolocked" xfId="16"/>
    <cellStyle name="Amounts_Board" xfId="17"/>
    <cellStyle name="Amounts-1000" xfId="18"/>
    <cellStyle name="BDG" xfId="19"/>
    <cellStyle name="BLANK" xfId="20"/>
    <cellStyle name="Bold" xfId="21"/>
    <cellStyle name="Border_Light_Blue" xfId="22"/>
    <cellStyle name="C_Amount_ACT" xfId="23"/>
    <cellStyle name="C_Head" xfId="24"/>
    <cellStyle name="center" xfId="25"/>
    <cellStyle name="COLUMN_PLACEHOLDER" xfId="26"/>
    <cellStyle name="Comma" xfId="4"/>
    <cellStyle name="Comma [0]" xfId="5"/>
    <cellStyle name="Currency" xfId="2"/>
    <cellStyle name="Currency [0]" xfId="3"/>
    <cellStyle name="Data(USA)" xfId="27"/>
    <cellStyle name="Date" xfId="28"/>
    <cellStyle name="Do_not_wrap_text" xfId="29"/>
    <cellStyle name="employee_status" xfId="30"/>
    <cellStyle name="FatColumn" xfId="31"/>
    <cellStyle name="Filling_Grey" xfId="32"/>
    <cellStyle name="Format1" xfId="61"/>
    <cellStyle name="Formula" xfId="33"/>
    <cellStyle name="Frame_left" xfId="34"/>
    <cellStyle name="FST description blank" xfId="35"/>
    <cellStyle name="Head_indented" xfId="36"/>
    <cellStyle name="Header_Border_Rows" xfId="37"/>
    <cellStyle name="HeaderRowTahoma8_Border" xfId="38"/>
    <cellStyle name="Hyperlink for amounts" xfId="39"/>
    <cellStyle name="Hyperlnk row header underlined bold" xfId="40"/>
    <cellStyle name="Invisible" xfId="41"/>
    <cellStyle name="Middle Headers Centered" xfId="42"/>
    <cellStyle name="No_Border" xfId="43"/>
    <cellStyle name="Normal" xfId="0" builtinId="0"/>
    <cellStyle name="Percent" xfId="1"/>
    <cellStyle name="Placeholder" xfId="44"/>
    <cellStyle name="Placeholder Header Underlined bold" xfId="45"/>
    <cellStyle name="Placeholder_column_blank" xfId="46"/>
    <cellStyle name="R_Area_font" xfId="47"/>
    <cellStyle name="R_formula" xfId="48"/>
    <cellStyle name="R_head_font" xfId="49"/>
    <cellStyle name="SKIDATA_AMOUNT" xfId="50"/>
    <cellStyle name="Status Check" xfId="51"/>
    <cellStyle name="Style0" xfId="62"/>
    <cellStyle name="Style1" xfId="63"/>
    <cellStyle name="Style10" xfId="72"/>
    <cellStyle name="Style11" xfId="73"/>
    <cellStyle name="Style12" xfId="74"/>
    <cellStyle name="Style13" xfId="75"/>
    <cellStyle name="Style14" xfId="77"/>
    <cellStyle name="Style15" xfId="78"/>
    <cellStyle name="Style16" xfId="79"/>
    <cellStyle name="Style17" xfId="80"/>
    <cellStyle name="Style2" xfId="64"/>
    <cellStyle name="Style3" xfId="65"/>
    <cellStyle name="Style4" xfId="66"/>
    <cellStyle name="Style5" xfId="67"/>
    <cellStyle name="Style6" xfId="68"/>
    <cellStyle name="Style7" xfId="69"/>
    <cellStyle name="Style8" xfId="70"/>
    <cellStyle name="Style81" xfId="76"/>
    <cellStyle name="Style9" xfId="71"/>
    <cellStyle name="Subtotal Amounts row fill" xfId="52"/>
    <cellStyle name="Subtotal head row fill" xfId="53"/>
    <cellStyle name="Subtotal_1_Rowfill" xfId="54"/>
    <cellStyle name="Tahoma_8_Header" xfId="55"/>
    <cellStyle name="Text" xfId="56"/>
    <cellStyle name="TGK_TOC_PAGE_COLUMN" xfId="57"/>
    <cellStyle name="Tsd_Trennung_0Komma" xfId="58"/>
    <cellStyle name="Work new book placeholder header underlined" xfId="59"/>
    <cellStyle name="zentriert" xfId="60"/>
  </cellStyles>
  <dxfs count="63"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 tint="-4.9958800012207406E-2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 tint="-4.9958800012207406E-2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 style="dashed">
          <color rgb="FFC00000"/>
        </top>
        <bottom style="dashed">
          <color rgb="FFC00000"/>
        </bottom>
      </border>
    </dxf>
    <dxf>
      <font>
        <color theme="0" tint="-4.9958800012207406E-2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  <dxf>
      <font>
        <color theme="0"/>
      </font>
      <fill>
        <patternFill patternType="none"/>
      </fill>
      <border>
        <left style="thin">
          <color theme="0" tint="-4.9958800012207406E-2"/>
        </left>
        <right style="thin">
          <color theme="0" tint="-4.9958800012207406E-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O1"/>
  <sheetViews>
    <sheetView workbookViewId="0"/>
  </sheetViews>
  <sheetFormatPr defaultRowHeight="15" x14ac:dyDescent="0.25"/>
  <sheetData>
    <row r="1" spans="1:119" ht="24.75" thickTop="1" thickBot="1" x14ac:dyDescent="0.4">
      <c r="A1" s="47" t="s">
        <v>46</v>
      </c>
      <c r="B1" s="48">
        <f>'C'!A65538</f>
        <v>0</v>
      </c>
      <c r="C1" s="49" t="s">
        <v>9</v>
      </c>
      <c r="D1" s="50" t="s">
        <v>48</v>
      </c>
      <c r="E1" s="51" t="s">
        <v>49</v>
      </c>
      <c r="F1" s="52" t="s">
        <v>52</v>
      </c>
      <c r="G1" s="53" t="s">
        <v>53</v>
      </c>
      <c r="H1" s="54" t="s">
        <v>54</v>
      </c>
      <c r="I1" s="55" t="s">
        <v>57</v>
      </c>
      <c r="J1" s="56" t="s">
        <v>55</v>
      </c>
      <c r="K1" s="57" t="s">
        <v>56</v>
      </c>
      <c r="L1" s="58" t="s">
        <v>59</v>
      </c>
      <c r="M1" s="59" t="s">
        <v>60</v>
      </c>
      <c r="N1" s="60" t="s">
        <v>10</v>
      </c>
      <c r="O1" s="61" t="s">
        <v>61</v>
      </c>
      <c r="P1" s="62" t="s">
        <v>11</v>
      </c>
      <c r="Q1" s="63" t="s">
        <v>64</v>
      </c>
      <c r="R1" s="64" t="s">
        <v>101</v>
      </c>
      <c r="S1" s="65" t="s">
        <v>65</v>
      </c>
      <c r="T1" s="66" t="s">
        <v>101</v>
      </c>
      <c r="U1" s="67" t="s">
        <v>66</v>
      </c>
      <c r="V1" s="68" t="s">
        <v>67</v>
      </c>
      <c r="W1" s="69" t="s">
        <v>70</v>
      </c>
      <c r="X1" s="70" t="s">
        <v>76</v>
      </c>
      <c r="Y1" s="71" t="s">
        <v>101</v>
      </c>
      <c r="Z1" s="72" t="s">
        <v>77</v>
      </c>
      <c r="AA1" s="73" t="s">
        <v>101</v>
      </c>
      <c r="AB1" s="74" t="s">
        <v>47</v>
      </c>
      <c r="AC1" s="75" t="s">
        <v>78</v>
      </c>
      <c r="AD1" s="76" t="s">
        <v>29</v>
      </c>
      <c r="AE1" s="77" t="s">
        <v>101</v>
      </c>
      <c r="AF1" s="78" t="s">
        <v>79</v>
      </c>
      <c r="AG1" s="79" t="s">
        <v>80</v>
      </c>
      <c r="AH1" s="80" t="s">
        <v>101</v>
      </c>
      <c r="AI1" s="81" t="s">
        <v>101</v>
      </c>
      <c r="AJ1" s="82" t="s">
        <v>38</v>
      </c>
      <c r="AK1" s="83" t="s">
        <v>39</v>
      </c>
      <c r="AL1" s="84" t="s">
        <v>40</v>
      </c>
      <c r="AM1" s="85" t="s">
        <v>42</v>
      </c>
      <c r="AN1" s="86" t="s">
        <v>81</v>
      </c>
      <c r="AO1" s="87" t="s">
        <v>82</v>
      </c>
      <c r="AP1" s="88" t="s">
        <v>83</v>
      </c>
      <c r="AQ1" s="89" t="s">
        <v>101</v>
      </c>
      <c r="AR1" s="90" t="s">
        <v>84</v>
      </c>
      <c r="AS1" s="91" t="s">
        <v>101</v>
      </c>
      <c r="AT1" s="92" t="s">
        <v>101</v>
      </c>
      <c r="AU1" s="93" t="s">
        <v>14</v>
      </c>
      <c r="AV1" s="94" t="s">
        <v>15</v>
      </c>
      <c r="AW1" s="95" t="s">
        <v>19</v>
      </c>
      <c r="AX1" s="96" t="s">
        <v>86</v>
      </c>
      <c r="AY1" s="97" t="s">
        <v>87</v>
      </c>
      <c r="AZ1" s="98" t="s">
        <v>101</v>
      </c>
      <c r="BA1" s="99" t="s">
        <v>101</v>
      </c>
      <c r="BB1" s="100" t="s">
        <v>27</v>
      </c>
      <c r="BC1" s="101" t="s">
        <v>28</v>
      </c>
      <c r="BD1" s="102" t="s">
        <v>91</v>
      </c>
      <c r="BE1" s="103" t="s">
        <v>30</v>
      </c>
      <c r="BF1" s="104" t="s">
        <v>33</v>
      </c>
      <c r="BG1" s="105" t="s">
        <v>102</v>
      </c>
      <c r="BH1" s="106" t="s">
        <v>43</v>
      </c>
      <c r="BI1" s="107" t="s">
        <v>103</v>
      </c>
      <c r="BJ1" s="108" t="s">
        <v>50</v>
      </c>
      <c r="BK1" s="109" t="s">
        <v>51</v>
      </c>
      <c r="BL1" s="110" t="s">
        <v>58</v>
      </c>
      <c r="BM1" s="111" t="s">
        <v>62</v>
      </c>
      <c r="BN1" s="112" t="s">
        <v>63</v>
      </c>
      <c r="BO1" s="113" t="s">
        <v>101</v>
      </c>
      <c r="BP1" s="114" t="s">
        <v>13</v>
      </c>
      <c r="BQ1" s="115" t="s">
        <v>68</v>
      </c>
      <c r="BR1" s="116" t="s">
        <v>69</v>
      </c>
      <c r="BS1" s="117" t="s">
        <v>71</v>
      </c>
      <c r="BT1" s="118" t="s">
        <v>72</v>
      </c>
      <c r="BU1" s="119" t="s">
        <v>73</v>
      </c>
      <c r="BV1" s="120" t="s">
        <v>101</v>
      </c>
      <c r="BW1" s="121" t="s">
        <v>20</v>
      </c>
      <c r="BX1" s="122" t="s">
        <v>21</v>
      </c>
      <c r="BY1" s="123" t="s">
        <v>74</v>
      </c>
      <c r="BZ1" s="124" t="s">
        <v>22</v>
      </c>
      <c r="CA1" s="125" t="s">
        <v>75</v>
      </c>
      <c r="CB1" s="126" t="s">
        <v>101</v>
      </c>
      <c r="CC1" s="127" t="s">
        <v>24</v>
      </c>
      <c r="CD1" s="128" t="s">
        <v>26</v>
      </c>
      <c r="CE1" s="129" t="s">
        <v>47</v>
      </c>
      <c r="CF1" s="130" t="s">
        <v>101</v>
      </c>
      <c r="CG1" s="131" t="s">
        <v>101</v>
      </c>
      <c r="CH1" s="132" t="s">
        <v>101</v>
      </c>
      <c r="CI1" s="133" t="s">
        <v>36</v>
      </c>
      <c r="CJ1" s="134" t="s">
        <v>47</v>
      </c>
      <c r="CK1" s="135" t="s">
        <v>101</v>
      </c>
      <c r="CL1" s="136" t="s">
        <v>85</v>
      </c>
      <c r="CM1" s="137" t="s">
        <v>12</v>
      </c>
      <c r="CN1" s="138" t="s">
        <v>16</v>
      </c>
      <c r="CO1" s="139" t="s">
        <v>17</v>
      </c>
      <c r="CP1" s="140" t="s">
        <v>18</v>
      </c>
      <c r="CQ1" s="141" t="s">
        <v>23</v>
      </c>
      <c r="CR1" s="142" t="s">
        <v>25</v>
      </c>
      <c r="CS1" s="143" t="s">
        <v>101</v>
      </c>
      <c r="CT1" s="144" t="s">
        <v>88</v>
      </c>
      <c r="CU1" s="145" t="s">
        <v>89</v>
      </c>
      <c r="CV1" s="146" t="s">
        <v>90</v>
      </c>
      <c r="CW1" s="147" t="s">
        <v>92</v>
      </c>
      <c r="CX1" s="148" t="s">
        <v>93</v>
      </c>
      <c r="CY1" s="149" t="s">
        <v>31</v>
      </c>
      <c r="CZ1" s="150" t="s">
        <v>32</v>
      </c>
      <c r="DA1" s="151" t="s">
        <v>94</v>
      </c>
      <c r="DB1" s="152" t="s">
        <v>34</v>
      </c>
      <c r="DC1" s="153" t="s">
        <v>35</v>
      </c>
      <c r="DD1" s="154" t="s">
        <v>101</v>
      </c>
      <c r="DE1" s="155" t="s">
        <v>37</v>
      </c>
      <c r="DF1" s="156" t="s">
        <v>101</v>
      </c>
      <c r="DG1" s="157" t="s">
        <v>95</v>
      </c>
      <c r="DH1" s="158" t="s">
        <v>41</v>
      </c>
      <c r="DI1" s="159" t="s">
        <v>96</v>
      </c>
      <c r="DJ1" s="160" t="s">
        <v>101</v>
      </c>
      <c r="DK1" s="161" t="s">
        <v>97</v>
      </c>
      <c r="DL1" s="162" t="s">
        <v>44</v>
      </c>
      <c r="DM1" s="163" t="s">
        <v>101</v>
      </c>
      <c r="DN1" s="164" t="s">
        <v>45</v>
      </c>
      <c r="DO1" s="165" t="s">
        <v>101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DQ70"/>
  <sheetViews>
    <sheetView showGridLines="0" tabSelected="1" topLeftCell="A2" workbookViewId="0">
      <selection activeCell="F14" sqref="F14"/>
    </sheetView>
  </sheetViews>
  <sheetFormatPr defaultRowHeight="15" outlineLevelRow="1" outlineLevelCol="1" x14ac:dyDescent="0.25"/>
  <cols>
    <col min="1" max="1" width="2.5703125" customWidth="1"/>
    <col min="2" max="2" width="4.5703125" hidden="1" customWidth="1"/>
    <col min="3" max="3" width="27" customWidth="1"/>
    <col min="4" max="4" width="1.140625" customWidth="1"/>
    <col min="5" max="9" width="9.42578125" customWidth="1"/>
    <col min="10" max="10" width="1.140625" customWidth="1"/>
    <col min="11" max="14" width="9.42578125" customWidth="1"/>
    <col min="15" max="15" width="9.85546875" customWidth="1"/>
    <col min="16" max="16" width="1.140625" customWidth="1"/>
    <col min="17" max="20" width="9.42578125" customWidth="1"/>
    <col min="21" max="21" width="9.85546875" customWidth="1"/>
    <col min="22" max="22" width="1.140625" customWidth="1"/>
    <col min="23" max="26" width="9.42578125" hidden="1" customWidth="1" outlineLevel="1"/>
    <col min="27" max="27" width="10.5703125" bestFit="1" customWidth="1" collapsed="1"/>
    <col min="28" max="30" width="10.42578125" bestFit="1" customWidth="1"/>
    <col min="31" max="31" width="10.5703125" bestFit="1" customWidth="1"/>
    <col min="32" max="32" width="10" bestFit="1" customWidth="1"/>
    <col min="33" max="33" width="10.140625" bestFit="1" customWidth="1"/>
    <col min="34" max="36" width="10.28515625" bestFit="1" customWidth="1"/>
    <col min="37" max="37" width="10.140625" bestFit="1" customWidth="1"/>
    <col min="38" max="38" width="10.42578125" bestFit="1" customWidth="1"/>
    <col min="39" max="42" width="10.28515625" bestFit="1" customWidth="1"/>
    <col min="43" max="43" width="10.42578125" bestFit="1" customWidth="1"/>
    <col min="44" max="44" width="10.140625" bestFit="1" customWidth="1"/>
    <col min="45" max="47" width="10.28515625" bestFit="1" customWidth="1"/>
    <col min="48" max="48" width="10.140625" bestFit="1" customWidth="1"/>
    <col min="49" max="49" width="10.42578125" bestFit="1" customWidth="1"/>
    <col min="50" max="50" width="10" bestFit="1" customWidth="1"/>
    <col min="51" max="53" width="10.140625" bestFit="1" customWidth="1"/>
    <col min="54" max="54" width="10" bestFit="1" customWidth="1"/>
    <col min="55" max="55" width="10.42578125" bestFit="1" customWidth="1"/>
    <col min="56" max="56" width="10" bestFit="1" customWidth="1"/>
    <col min="57" max="59" width="10.140625" bestFit="1" customWidth="1"/>
    <col min="60" max="60" width="10" bestFit="1" customWidth="1"/>
    <col min="61" max="61" width="10.42578125" bestFit="1" customWidth="1"/>
    <col min="62" max="64" width="10" bestFit="1" customWidth="1"/>
    <col min="65" max="65" width="10.28515625" bestFit="1" customWidth="1"/>
    <col min="67" max="74" width="10" bestFit="1" customWidth="1"/>
    <col min="75" max="75" width="10.28515625" bestFit="1" customWidth="1"/>
    <col min="77" max="80" width="10" bestFit="1" customWidth="1"/>
    <col min="81" max="81" width="10.28515625" bestFit="1" customWidth="1"/>
    <col min="83" max="86" width="10" bestFit="1" customWidth="1"/>
    <col min="87" max="87" width="10.28515625" bestFit="1" customWidth="1"/>
    <col min="89" max="92" width="10" bestFit="1" customWidth="1"/>
    <col min="93" max="93" width="10.28515625" bestFit="1" customWidth="1"/>
    <col min="95" max="102" width="10" bestFit="1" customWidth="1"/>
    <col min="103" max="103" width="10.28515625" bestFit="1" customWidth="1"/>
    <col min="105" max="108" width="10" bestFit="1" customWidth="1"/>
    <col min="109" max="109" width="10.28515625" bestFit="1" customWidth="1"/>
    <col min="111" max="114" width="10" bestFit="1" customWidth="1"/>
    <col min="115" max="115" width="10.28515625" bestFit="1" customWidth="1"/>
    <col min="117" max="120" width="10" bestFit="1" customWidth="1"/>
    <col min="121" max="121" width="10.28515625" bestFit="1" customWidth="1"/>
  </cols>
  <sheetData>
    <row r="1" spans="2:121" hidden="1" x14ac:dyDescent="0.25">
      <c r="C1" s="8" t="s">
        <v>126</v>
      </c>
    </row>
    <row r="2" spans="2:121" ht="20.25" customHeight="1" x14ac:dyDescent="0.25">
      <c r="C2" s="1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10"/>
      <c r="W2" s="10"/>
      <c r="X2" s="10"/>
      <c r="Y2" s="10"/>
      <c r="Z2" s="10"/>
      <c r="AA2" s="11"/>
    </row>
    <row r="3" spans="2:121" ht="15" customHeight="1" x14ac:dyDescent="0.25"/>
    <row r="4" spans="2:121" ht="30.75" customHeight="1" outlineLevel="1" x14ac:dyDescent="0.25">
      <c r="C4" s="9" t="s">
        <v>0</v>
      </c>
      <c r="E4" s="3" t="s">
        <v>98</v>
      </c>
      <c r="F4" s="2"/>
      <c r="G4" s="2"/>
      <c r="H4" s="2"/>
      <c r="I4" s="2"/>
      <c r="J4" s="2"/>
      <c r="K4" s="2"/>
      <c r="L4" s="2"/>
      <c r="M4" s="2"/>
      <c r="N4" s="2"/>
      <c r="O4" s="2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2:121" ht="2.25" customHeight="1" outlineLevel="1" x14ac:dyDescent="0.25"/>
    <row r="6" spans="2:121" ht="31.5" customHeight="1" outlineLevel="1" x14ac:dyDescent="0.25">
      <c r="C6" s="9" t="s">
        <v>1</v>
      </c>
      <c r="E6" s="3" t="s">
        <v>100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2:121" ht="2.25" customHeight="1" outlineLevel="1" x14ac:dyDescent="0.25">
      <c r="G7" s="6"/>
      <c r="H7" s="7"/>
      <c r="I7" s="7"/>
      <c r="J7" s="7"/>
      <c r="K7" s="7"/>
      <c r="L7" s="7"/>
      <c r="M7" s="7"/>
    </row>
    <row r="8" spans="2:121" ht="30.75" customHeight="1" outlineLevel="1" x14ac:dyDescent="0.25">
      <c r="C8" s="9" t="s">
        <v>8</v>
      </c>
      <c r="E8" s="3" t="s">
        <v>99</v>
      </c>
      <c r="F8" s="3"/>
      <c r="G8" s="3"/>
      <c r="H8" s="3"/>
      <c r="I8" s="3"/>
      <c r="J8" s="3"/>
      <c r="K8" s="3"/>
      <c r="L8" s="3"/>
      <c r="M8" s="3"/>
      <c r="N8" s="3"/>
      <c r="O8" s="3"/>
    </row>
    <row r="9" spans="2:121" x14ac:dyDescent="0.25">
      <c r="C9" s="12" t="s">
        <v>125</v>
      </c>
    </row>
    <row r="10" spans="2:121" x14ac:dyDescent="0.25">
      <c r="B10" s="8"/>
      <c r="C10" s="8"/>
      <c r="D10" s="14" t="s">
        <v>106</v>
      </c>
      <c r="E10" s="19" t="s">
        <v>104</v>
      </c>
      <c r="F10" s="19" t="s">
        <v>104</v>
      </c>
      <c r="G10" s="19" t="s">
        <v>104</v>
      </c>
      <c r="H10" s="19" t="s">
        <v>104</v>
      </c>
      <c r="I10" s="19" t="s">
        <v>113</v>
      </c>
      <c r="J10" s="14" t="s">
        <v>106</v>
      </c>
      <c r="K10" s="19" t="s">
        <v>106</v>
      </c>
      <c r="L10" s="19" t="s">
        <v>106</v>
      </c>
      <c r="M10" s="19" t="s">
        <v>106</v>
      </c>
      <c r="N10" s="19" t="s">
        <v>106</v>
      </c>
      <c r="O10" s="19" t="s">
        <v>113</v>
      </c>
      <c r="P10" s="14" t="s">
        <v>106</v>
      </c>
      <c r="Q10" s="19" t="s">
        <v>106</v>
      </c>
      <c r="R10" s="19" t="s">
        <v>106</v>
      </c>
      <c r="S10" s="19" t="s">
        <v>106</v>
      </c>
      <c r="T10" s="19" t="s">
        <v>106</v>
      </c>
      <c r="U10" s="19" t="s">
        <v>113</v>
      </c>
      <c r="V10" s="14" t="s">
        <v>106</v>
      </c>
      <c r="W10" s="19" t="s">
        <v>116</v>
      </c>
      <c r="X10" s="19" t="s">
        <v>116</v>
      </c>
      <c r="Y10" s="19" t="s">
        <v>116</v>
      </c>
      <c r="Z10" s="19" t="s">
        <v>116</v>
      </c>
      <c r="AA10" s="19" t="s">
        <v>108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</row>
    <row r="11" spans="2:121" x14ac:dyDescent="0.25">
      <c r="B11" s="8"/>
      <c r="C11" s="8"/>
      <c r="D11" s="14" t="s">
        <v>114</v>
      </c>
      <c r="E11" s="19" t="s">
        <v>119</v>
      </c>
      <c r="F11" s="19" t="s">
        <v>124</v>
      </c>
      <c r="G11" s="19" t="s">
        <v>122</v>
      </c>
      <c r="H11" s="19" t="s">
        <v>109</v>
      </c>
      <c r="I11" s="19" t="s">
        <v>105</v>
      </c>
      <c r="J11" s="14" t="s">
        <v>114</v>
      </c>
      <c r="K11" s="19" t="s">
        <v>111</v>
      </c>
      <c r="L11" s="19" t="s">
        <v>117</v>
      </c>
      <c r="M11" s="19" t="s">
        <v>123</v>
      </c>
      <c r="N11" s="19" t="s">
        <v>121</v>
      </c>
      <c r="O11" s="19" t="s">
        <v>120</v>
      </c>
      <c r="P11" s="14" t="s">
        <v>114</v>
      </c>
      <c r="Q11" s="19" t="s">
        <v>115</v>
      </c>
      <c r="R11" s="19" t="s">
        <v>112</v>
      </c>
      <c r="S11" s="19" t="s">
        <v>110</v>
      </c>
      <c r="T11" s="19" t="s">
        <v>107</v>
      </c>
      <c r="U11" s="19" t="s">
        <v>118</v>
      </c>
      <c r="V11" s="14" t="s">
        <v>114</v>
      </c>
      <c r="W11" s="19" t="s">
        <v>111</v>
      </c>
      <c r="X11" s="19" t="s">
        <v>117</v>
      </c>
      <c r="Y11" s="19" t="s">
        <v>123</v>
      </c>
      <c r="Z11" s="19" t="s">
        <v>121</v>
      </c>
      <c r="AA11" s="19" t="s">
        <v>120</v>
      </c>
      <c r="AB11" s="5"/>
      <c r="AC11" s="5"/>
      <c r="AD11" s="5"/>
      <c r="AE11" s="5"/>
      <c r="AF11" s="5"/>
      <c r="AG11" s="5"/>
      <c r="AH11" s="5"/>
      <c r="AI11" s="5"/>
      <c r="AJ11" s="5"/>
      <c r="AK11" s="4"/>
      <c r="AL11" s="5"/>
      <c r="AM11" s="5"/>
      <c r="AN11" s="5"/>
      <c r="AO11" s="4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</row>
    <row r="12" spans="2:121" hidden="1" x14ac:dyDescent="0.25">
      <c r="B12" s="8" t="s">
        <v>101</v>
      </c>
      <c r="C12" s="8"/>
      <c r="D12" s="30">
        <f>1</f>
        <v>1</v>
      </c>
      <c r="E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F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G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H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I12" s="24">
        <f t="shared" ref="I12:I28" ca="1" si="0">IFERROR(IF(INDIRECT(ADDRESS(ROW(),COLUMN()-7))="SA_0001",INDIRECT(ADDRESS(ROW()-7,COLUMN()))/INDIRECT(ADDRESS(ROW()-35,COLUMN())),SUM(E12:H12)),0)</f>
        <v>0</v>
      </c>
      <c r="J12" s="30">
        <f>1</f>
        <v>1</v>
      </c>
      <c r="K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L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M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N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O12" s="24">
        <f t="shared" ref="O12:O28" ca="1" si="1">IFERROR(IF(INDIRECT(ADDRESS(ROW(),COLUMN()-13))="SA_0001",INDIRECT(ADDRESS(ROW()-7,COLUMN()))/INDIRECT(ADDRESS(ROW()-35,COLUMN())),SUM(K12:N12)),0)</f>
        <v>4</v>
      </c>
      <c r="P12" s="30">
        <f>1</f>
        <v>1</v>
      </c>
      <c r="Q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R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S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T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U12" s="24">
        <f t="shared" ref="U12:U28" ca="1" si="2">IFERROR(IF(INDIRECT(ADDRESS(ROW(),COLUMN()-19))="SA_0001",INDIRECT(ADDRESS(ROW()-7,COLUMN()))/INDIRECT(ADDRESS(ROW()-35,COLUMN())),SUM(Q12:T12)),0)</f>
        <v>0</v>
      </c>
      <c r="V12" s="30">
        <f>1</f>
        <v>1</v>
      </c>
      <c r="W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X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Y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Z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AA12" s="24">
        <f t="shared" ref="AA12:AA28" ca="1" si="3">IFERROR(IF(INDIRECT(ADDRESS(ROW(),COLUMN()-25))="SA_0001",INDIRECT(ADDRESS(ROW()-7,COLUMN()))/INDIRECT(ADDRESS(ROW()-35,COLUMN())),SUM(W12:Z12)),0)</f>
        <v>0</v>
      </c>
      <c r="AB12" s="5"/>
      <c r="AC12" s="5"/>
      <c r="AD12" s="5"/>
      <c r="AE12" s="5"/>
      <c r="AF12" s="5"/>
      <c r="AG12" s="5"/>
      <c r="AH12" s="5"/>
      <c r="AI12" s="5"/>
      <c r="AJ12" s="5"/>
      <c r="AK12" s="4"/>
      <c r="AL12" s="5"/>
      <c r="AM12" s="5"/>
      <c r="AN12" s="5"/>
      <c r="AO12" s="4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</row>
    <row r="13" spans="2:121" hidden="1" x14ac:dyDescent="0.25">
      <c r="B13" s="8" t="s">
        <v>101</v>
      </c>
      <c r="C13" s="8"/>
      <c r="D13" s="30">
        <f>1</f>
        <v>1</v>
      </c>
      <c r="E13">
        <f>IF(E12=1,IF(COUNTIFS(E16:E20,"&lt;0")=1,1,IF(COUNTIFS(E16:E20,"&lt;0")=2,1,IF(COUNTIFS(E16:E20,"&lt;0")=3,1,IF(COUNTIFS(E16:E20,"&lt;0")=4,1,IF(COUNTIFS(E16:E20,"&lt;0")=5,1,IF(COUNTIFS(E16:E20,"&lt;0")=6,1,0)))))),0)</f>
        <v>0</v>
      </c>
      <c r="F13">
        <f>IF(F12=1,IF(COUNTIFS(F16:F20,"&lt;0")=1,1,IF(COUNTIFS(F16:F20,"&lt;0")=2,1,IF(COUNTIFS(F16:F20,"&lt;0")=3,1,IF(COUNTIFS(F16:F20,"&lt;0")=4,1,IF(COUNTIFS(F16:F20,"&lt;0")=5,1,IF(COUNTIFS(F16:F20,"&lt;0")=6,1,0)))))),0)</f>
        <v>0</v>
      </c>
      <c r="G13">
        <f>IF(G12=1,IF(COUNTIFS(G16:G20,"&lt;0")=1,1,IF(COUNTIFS(G16:G20,"&lt;0")=2,1,IF(COUNTIFS(G16:G20,"&lt;0")=3,1,IF(COUNTIFS(G16:G20,"&lt;0")=4,1,IF(COUNTIFS(G16:G20,"&lt;0")=5,1,IF(COUNTIFS(G16:G20,"&lt;0")=6,1,0)))))),0)</f>
        <v>0</v>
      </c>
      <c r="H13">
        <f>IF(H12=1,IF(COUNTIFS(H16:H20,"&lt;0")=1,1,IF(COUNTIFS(H16:H20,"&lt;0")=2,1,IF(COUNTIFS(H16:H20,"&lt;0")=3,1,IF(COUNTIFS(H16:H20,"&lt;0")=4,1,IF(COUNTIFS(H16:H20,"&lt;0")=5,1,IF(COUNTIFS(H16:H20,"&lt;0")=6,1,0)))))),0)</f>
        <v>0</v>
      </c>
      <c r="I13" s="24">
        <f t="shared" ca="1" si="0"/>
        <v>0</v>
      </c>
      <c r="J13" s="30">
        <f>1</f>
        <v>1</v>
      </c>
      <c r="K13">
        <f>IF(K12=1,IF(COUNTIFS(K16:K20,"&lt;0")=1,1,IF(COUNTIFS(K16:K20,"&lt;0")=2,1,IF(COUNTIFS(K16:K20,"&lt;0")=3,1,IF(COUNTIFS(K16:K20,"&lt;0")=4,1,IF(COUNTIFS(K16:K20,"&lt;0")=5,1,IF(COUNTIFS(K16:K20,"&lt;0")=6,1,0)))))),0)</f>
        <v>0</v>
      </c>
      <c r="L13">
        <f>IF(L12=1,IF(COUNTIFS(L16:L20,"&lt;0")=1,1,IF(COUNTIFS(L16:L20,"&lt;0")=2,1,IF(COUNTIFS(L16:L20,"&lt;0")=3,1,IF(COUNTIFS(L16:L20,"&lt;0")=4,1,IF(COUNTIFS(L16:L20,"&lt;0")=5,1,IF(COUNTIFS(L16:L20,"&lt;0")=6,1,0)))))),0)</f>
        <v>0</v>
      </c>
      <c r="M13">
        <f>IF(M12=1,IF(COUNTIFS(M16:M20,"&lt;0")=1,1,IF(COUNTIFS(M16:M20,"&lt;0")=2,1,IF(COUNTIFS(M16:M20,"&lt;0")=3,1,IF(COUNTIFS(M16:M20,"&lt;0")=4,1,IF(COUNTIFS(M16:M20,"&lt;0")=5,1,IF(COUNTIFS(M16:M20,"&lt;0")=6,1,0)))))),0)</f>
        <v>0</v>
      </c>
      <c r="N13">
        <f>IF(N12=1,IF(COUNTIFS(N16:N20,"&lt;0")=1,1,IF(COUNTIFS(N16:N20,"&lt;0")=2,1,IF(COUNTIFS(N16:N20,"&lt;0")=3,1,IF(COUNTIFS(N16:N20,"&lt;0")=4,1,IF(COUNTIFS(N16:N20,"&lt;0")=5,1,IF(COUNTIFS(N16:N20,"&lt;0")=6,1,0)))))),0)</f>
        <v>0</v>
      </c>
      <c r="O13" s="24">
        <f t="shared" ca="1" si="1"/>
        <v>0</v>
      </c>
      <c r="P13" s="30">
        <f>1</f>
        <v>1</v>
      </c>
      <c r="Q13">
        <f>IF(Q12=1,IF(COUNTIFS(Q16:Q20,"&lt;0")=1,1,IF(COUNTIFS(Q16:Q20,"&lt;0")=2,1,IF(COUNTIFS(Q16:Q20,"&lt;0")=3,1,IF(COUNTIFS(Q16:Q20,"&lt;0")=4,1,IF(COUNTIFS(Q16:Q20,"&lt;0")=5,1,IF(COUNTIFS(Q16:Q20,"&lt;0")=6,1,0)))))),0)</f>
        <v>0</v>
      </c>
      <c r="R13">
        <f>IF(R12=1,IF(COUNTIFS(R16:R20,"&lt;0")=1,1,IF(COUNTIFS(R16:R20,"&lt;0")=2,1,IF(COUNTIFS(R16:R20,"&lt;0")=3,1,IF(COUNTIFS(R16:R20,"&lt;0")=4,1,IF(COUNTIFS(R16:R20,"&lt;0")=5,1,IF(COUNTIFS(R16:R20,"&lt;0")=6,1,0)))))),0)</f>
        <v>0</v>
      </c>
      <c r="S13">
        <f>IF(S12=1,IF(COUNTIFS(S16:S20,"&lt;0")=1,1,IF(COUNTIFS(S16:S20,"&lt;0")=2,1,IF(COUNTIFS(S16:S20,"&lt;0")=3,1,IF(COUNTIFS(S16:S20,"&lt;0")=4,1,IF(COUNTIFS(S16:S20,"&lt;0")=5,1,IF(COUNTIFS(S16:S20,"&lt;0")=6,1,0)))))),0)</f>
        <v>0</v>
      </c>
      <c r="T13">
        <f>IF(T12=1,IF(COUNTIFS(T16:T20,"&lt;0")=1,1,IF(COUNTIFS(T16:T20,"&lt;0")=2,1,IF(COUNTIFS(T16:T20,"&lt;0")=3,1,IF(COUNTIFS(T16:T20,"&lt;0")=4,1,IF(COUNTIFS(T16:T20,"&lt;0")=5,1,IF(COUNTIFS(T16:T20,"&lt;0")=6,1,0)))))),0)</f>
        <v>0</v>
      </c>
      <c r="U13" s="24">
        <f t="shared" ca="1" si="2"/>
        <v>0</v>
      </c>
      <c r="V13" s="30">
        <f>1</f>
        <v>1</v>
      </c>
      <c r="W13">
        <f>IF(W12=1,IF(COUNTIFS(W16:W20,"&lt;0")=1,1,IF(COUNTIFS(W16:W20,"&lt;0")=2,1,IF(COUNTIFS(W16:W20,"&lt;0")=3,1,IF(COUNTIFS(W16:W20,"&lt;0")=4,1,IF(COUNTIFS(W16:W20,"&lt;0")=5,1,IF(COUNTIFS(W16:W20,"&lt;0")=6,1,0)))))),0)</f>
        <v>0</v>
      </c>
      <c r="X13">
        <f>IF(X12=1,IF(COUNTIFS(X16:X20,"&lt;0")=1,1,IF(COUNTIFS(X16:X20,"&lt;0")=2,1,IF(COUNTIFS(X16:X20,"&lt;0")=3,1,IF(COUNTIFS(X16:X20,"&lt;0")=4,1,IF(COUNTIFS(X16:X20,"&lt;0")=5,1,IF(COUNTIFS(X16:X20,"&lt;0")=6,1,0)))))),0)</f>
        <v>0</v>
      </c>
      <c r="Y13">
        <f>IF(Y12=1,IF(COUNTIFS(Y16:Y20,"&lt;0")=1,1,IF(COUNTIFS(Y16:Y20,"&lt;0")=2,1,IF(COUNTIFS(Y16:Y20,"&lt;0")=3,1,IF(COUNTIFS(Y16:Y20,"&lt;0")=4,1,IF(COUNTIFS(Y16:Y20,"&lt;0")=5,1,IF(COUNTIFS(Y16:Y20,"&lt;0")=6,1,0)))))),0)</f>
        <v>0</v>
      </c>
      <c r="Z13">
        <f>IF(Z12=1,IF(COUNTIFS(Z16:Z20,"&lt;0")=1,1,IF(COUNTIFS(Z16:Z20,"&lt;0")=2,1,IF(COUNTIFS(Z16:Z20,"&lt;0")=3,1,IF(COUNTIFS(Z16:Z20,"&lt;0")=4,1,IF(COUNTIFS(Z16:Z20,"&lt;0")=5,1,IF(COUNTIFS(Z16:Z20,"&lt;0")=6,1,0)))))),0)</f>
        <v>0</v>
      </c>
      <c r="AA13" s="24">
        <f t="shared" ca="1" si="3"/>
        <v>0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</row>
    <row r="14" spans="2:121" hidden="1" x14ac:dyDescent="0.25">
      <c r="B14" s="8" t="s">
        <v>101</v>
      </c>
      <c r="C14" s="8"/>
      <c r="D14" s="30">
        <f>1</f>
        <v>1</v>
      </c>
      <c r="E14">
        <f>IF(E12=1,IF(COUNTIFS(E30:E34,"=0")=1,1,IF(COUNTIFS(E30:E34,"=0")=2,1,IF(COUNTIFS(E30:E34,"=0")=3,1,IF(COUNTIFS(E30:E34,"=0")=4,1,IF(COUNTIFS(E30:E34,"&gt;0")=5,1,IF(COUNTIFS(E30:E34,"=0")=6,1,0)))))),0)</f>
        <v>0</v>
      </c>
      <c r="F14">
        <f>IF(F12=1,IF(COUNTIFS(F30:F34,"=0")=1,1,IF(COUNTIFS(F30:F34,"=0")=2,1,IF(COUNTIFS(F30:F34,"=0")=3,1,IF(COUNTIFS(F30:F34,"=0")=4,1,IF(COUNTIFS(F30:F34,"&gt;0")=5,1,IF(COUNTIFS(F30:F34,"=0")=6,1,0)))))),0)</f>
        <v>0</v>
      </c>
      <c r="G14">
        <f>IF(G12=1,IF(COUNTIFS(G30:G34,"=0")=1,1,IF(COUNTIFS(G30:G34,"=0")=2,1,IF(COUNTIFS(G30:G34,"=0")=3,1,IF(COUNTIFS(G30:G34,"=0")=4,1,IF(COUNTIFS(G30:G34,"&gt;0")=5,1,IF(COUNTIFS(G30:G34,"=0")=6,1,0)))))),0)</f>
        <v>0</v>
      </c>
      <c r="H14">
        <f>IF(H12=1,IF(COUNTIFS(H30:H34,"=0")=1,1,IF(COUNTIFS(H30:H34,"=0")=2,1,IF(COUNTIFS(H30:H34,"=0")=3,1,IF(COUNTIFS(H30:H34,"=0")=4,1,IF(COUNTIFS(H30:H34,"&gt;0")=5,1,IF(COUNTIFS(H30:H34,"=0")=6,1,0)))))),0)</f>
        <v>0</v>
      </c>
      <c r="I14" s="24">
        <f t="shared" ca="1" si="0"/>
        <v>0</v>
      </c>
      <c r="J14" s="30">
        <f>1</f>
        <v>1</v>
      </c>
      <c r="K14">
        <f>IF(K12=1,IF(COUNTIFS(K30:K34,"=0")=1,1,IF(COUNTIFS(K30:K34,"=0")=2,1,IF(COUNTIFS(K30:K34,"=0")=3,1,IF(COUNTIFS(K30:K34,"=0")=4,1,IF(COUNTIFS(K30:K34,"&gt;0")=5,1,IF(COUNTIFS(K30:K34,"=0")=6,1,0)))))),0)</f>
        <v>0</v>
      </c>
      <c r="L14">
        <f>IF(L12=1,IF(COUNTIFS(L30:L34,"=0")=1,1,IF(COUNTIFS(L30:L34,"=0")=2,1,IF(COUNTIFS(L30:L34,"=0")=3,1,IF(COUNTIFS(L30:L34,"=0")=4,1,IF(COUNTIFS(L30:L34,"&gt;0")=5,1,IF(COUNTIFS(L30:L34,"=0")=6,1,0)))))),0)</f>
        <v>0</v>
      </c>
      <c r="M14">
        <f>IF(M12=1,IF(COUNTIFS(M30:M34,"=0")=1,1,IF(COUNTIFS(M30:M34,"=0")=2,1,IF(COUNTIFS(M30:M34,"=0")=3,1,IF(COUNTIFS(M30:M34,"=0")=4,1,IF(COUNTIFS(M30:M34,"&gt;0")=5,1,IF(COUNTIFS(M30:M34,"=0")=6,1,0)))))),0)</f>
        <v>0</v>
      </c>
      <c r="N14">
        <f>IF(N12=1,IF(COUNTIFS(N30:N34,"=0")=1,1,IF(COUNTIFS(N30:N34,"=0")=2,1,IF(COUNTIFS(N30:N34,"=0")=3,1,IF(COUNTIFS(N30:N34,"=0")=4,1,IF(COUNTIFS(N30:N34,"&gt;0")=5,1,IF(COUNTIFS(N30:N34,"=0")=6,1,0)))))),0)</f>
        <v>0</v>
      </c>
      <c r="O14" s="24">
        <f t="shared" ca="1" si="1"/>
        <v>0</v>
      </c>
      <c r="P14" s="30">
        <f>1</f>
        <v>1</v>
      </c>
      <c r="Q14">
        <f>IF(Q12=1,IF(COUNTIFS(Q30:Q34,"=0")=1,1,IF(COUNTIFS(Q30:Q34,"=0")=2,1,IF(COUNTIFS(Q30:Q34,"=0")=3,1,IF(COUNTIFS(Q30:Q34,"=0")=4,1,IF(COUNTIFS(Q30:Q34,"&gt;0")=5,1,IF(COUNTIFS(Q30:Q34,"=0")=6,1,0)))))),0)</f>
        <v>0</v>
      </c>
      <c r="R14">
        <f>IF(R12=1,IF(COUNTIFS(R30:R34,"=0")=1,1,IF(COUNTIFS(R30:R34,"=0")=2,1,IF(COUNTIFS(R30:R34,"=0")=3,1,IF(COUNTIFS(R30:R34,"=0")=4,1,IF(COUNTIFS(R30:R34,"&gt;0")=5,1,IF(COUNTIFS(R30:R34,"=0")=6,1,0)))))),0)</f>
        <v>0</v>
      </c>
      <c r="S14">
        <f>IF(S12=1,IF(COUNTIFS(S30:S34,"=0")=1,1,IF(COUNTIFS(S30:S34,"=0")=2,1,IF(COUNTIFS(S30:S34,"=0")=3,1,IF(COUNTIFS(S30:S34,"=0")=4,1,IF(COUNTIFS(S30:S34,"&gt;0")=5,1,IF(COUNTIFS(S30:S34,"=0")=6,1,0)))))),0)</f>
        <v>0</v>
      </c>
      <c r="T14">
        <f>IF(T12=1,IF(COUNTIFS(T30:T34,"=0")=1,1,IF(COUNTIFS(T30:T34,"=0")=2,1,IF(COUNTIFS(T30:T34,"=0")=3,1,IF(COUNTIFS(T30:T34,"=0")=4,1,IF(COUNTIFS(T30:T34,"&gt;0")=5,1,IF(COUNTIFS(T30:T34,"=0")=6,1,0)))))),0)</f>
        <v>0</v>
      </c>
      <c r="U14" s="24">
        <f t="shared" ca="1" si="2"/>
        <v>0</v>
      </c>
      <c r="V14" s="30">
        <f>1</f>
        <v>1</v>
      </c>
      <c r="W14">
        <f>IF(W12=1,IF(COUNTIFS(W30:W34,"=0")=1,1,IF(COUNTIFS(W30:W34,"=0")=2,1,IF(COUNTIFS(W30:W34,"=0")=3,1,IF(COUNTIFS(W30:W34,"=0")=4,1,IF(COUNTIFS(W30:W34,"&gt;0")=5,1,IF(COUNTIFS(W30:W34,"=0")=6,1,0)))))),0)</f>
        <v>0</v>
      </c>
      <c r="X14">
        <f>IF(X12=1,IF(COUNTIFS(X30:X34,"=0")=1,1,IF(COUNTIFS(X30:X34,"=0")=2,1,IF(COUNTIFS(X30:X34,"=0")=3,1,IF(COUNTIFS(X30:X34,"=0")=4,1,IF(COUNTIFS(X30:X34,"&gt;0")=5,1,IF(COUNTIFS(X30:X34,"=0")=6,1,0)))))),0)</f>
        <v>0</v>
      </c>
      <c r="Y14">
        <f>IF(Y12=1,IF(COUNTIFS(Y30:Y34,"=0")=1,1,IF(COUNTIFS(Y30:Y34,"=0")=2,1,IF(COUNTIFS(Y30:Y34,"=0")=3,1,IF(COUNTIFS(Y30:Y34,"=0")=4,1,IF(COUNTIFS(Y30:Y34,"&gt;0")=5,1,IF(COUNTIFS(Y30:Y34,"=0")=6,1,0)))))),0)</f>
        <v>0</v>
      </c>
      <c r="Z14">
        <f>IF(Z12=1,IF(COUNTIFS(Z30:Z34,"=0")=1,1,IF(COUNTIFS(Z30:Z34,"=0")=2,1,IF(COUNTIFS(Z30:Z34,"=0")=3,1,IF(COUNTIFS(Z30:Z34,"=0")=4,1,IF(COUNTIFS(Z30:Z34,"&gt;0")=5,1,IF(COUNTIFS(Z30:Z34,"=0")=6,1,0)))))),0)</f>
        <v>0</v>
      </c>
      <c r="AA14" s="24">
        <f t="shared" ca="1" si="3"/>
        <v>0</v>
      </c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</row>
    <row r="15" spans="2:121" x14ac:dyDescent="0.25">
      <c r="B15" s="18" t="s">
        <v>101</v>
      </c>
      <c r="C15" s="18"/>
      <c r="D15" s="32">
        <f>1</f>
        <v>1</v>
      </c>
      <c r="E15" s="17">
        <f>SUM(E16:E21)</f>
        <v>0</v>
      </c>
      <c r="F15" s="17">
        <f>SUM(F16:F21)</f>
        <v>0</v>
      </c>
      <c r="G15" s="17">
        <f>SUM(G16:G21)</f>
        <v>0</v>
      </c>
      <c r="H15" s="17">
        <f>SUM(H16:H21)</f>
        <v>0</v>
      </c>
      <c r="I15" s="33">
        <f t="shared" ca="1" si="0"/>
        <v>0</v>
      </c>
      <c r="J15" s="32">
        <f>1</f>
        <v>1</v>
      </c>
      <c r="K15" s="17">
        <f>SUM(K16:K21)</f>
        <v>0</v>
      </c>
      <c r="L15" s="17">
        <f>SUM(L16:L21)</f>
        <v>0</v>
      </c>
      <c r="M15" s="17">
        <f>SUM(M16:M21)</f>
        <v>0</v>
      </c>
      <c r="N15" s="17">
        <f>SUM(N16:N21)</f>
        <v>0</v>
      </c>
      <c r="O15" s="33">
        <f t="shared" ca="1" si="1"/>
        <v>0</v>
      </c>
      <c r="P15" s="32">
        <f>1</f>
        <v>1</v>
      </c>
      <c r="Q15" s="17">
        <f>SUM(Q16:Q21)</f>
        <v>0</v>
      </c>
      <c r="R15" s="17">
        <f>SUM(R16:R21)</f>
        <v>0</v>
      </c>
      <c r="S15" s="17">
        <f>SUM(S16:S21)</f>
        <v>0</v>
      </c>
      <c r="T15" s="17">
        <f>SUM(T16:T21)</f>
        <v>0</v>
      </c>
      <c r="U15" s="33">
        <f t="shared" ca="1" si="2"/>
        <v>0</v>
      </c>
      <c r="V15" s="32">
        <f>1</f>
        <v>1</v>
      </c>
      <c r="W15" s="17">
        <f>SUM(W16:W21)</f>
        <v>5</v>
      </c>
      <c r="X15" s="17">
        <f>SUM(X16:X21)</f>
        <v>0</v>
      </c>
      <c r="Y15" s="17">
        <f>SUM(Y16:Y21)</f>
        <v>0</v>
      </c>
      <c r="Z15" s="17">
        <f>SUM(Z16:Z21)</f>
        <v>0</v>
      </c>
      <c r="AA15" s="33">
        <f t="shared" ca="1" si="3"/>
        <v>5</v>
      </c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</row>
    <row r="16" spans="2:121" x14ac:dyDescent="0.25">
      <c r="B16" s="21" t="s">
        <v>3</v>
      </c>
      <c r="C16" s="21" t="s">
        <v>101</v>
      </c>
      <c r="D16" s="29">
        <f>1</f>
        <v>1</v>
      </c>
      <c r="E16" s="16"/>
      <c r="F16" s="16"/>
      <c r="G16" s="16"/>
      <c r="H16" s="16"/>
      <c r="I16" s="28">
        <f t="shared" ca="1" si="0"/>
        <v>0</v>
      </c>
      <c r="J16" s="29">
        <f>1</f>
        <v>1</v>
      </c>
      <c r="K16" s="16"/>
      <c r="L16" s="16"/>
      <c r="M16" s="16"/>
      <c r="N16" s="16"/>
      <c r="O16" s="28">
        <f t="shared" ca="1" si="1"/>
        <v>0</v>
      </c>
      <c r="P16" s="29">
        <f>1</f>
        <v>1</v>
      </c>
      <c r="Q16" s="16"/>
      <c r="R16" s="16"/>
      <c r="S16" s="16"/>
      <c r="T16" s="16"/>
      <c r="U16" s="28">
        <f t="shared" ca="1" si="2"/>
        <v>0</v>
      </c>
      <c r="V16" s="29">
        <f>1</f>
        <v>1</v>
      </c>
      <c r="W16" s="16">
        <v>1</v>
      </c>
      <c r="X16" s="16">
        <v>0</v>
      </c>
      <c r="Y16" s="16">
        <v>0</v>
      </c>
      <c r="Z16" s="16">
        <v>0</v>
      </c>
      <c r="AA16" s="28">
        <f t="shared" ca="1" si="3"/>
        <v>1</v>
      </c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</row>
    <row r="17" spans="2:121" x14ac:dyDescent="0.25">
      <c r="B17" s="21" t="s">
        <v>3</v>
      </c>
      <c r="C17" s="21" t="s">
        <v>101</v>
      </c>
      <c r="D17" s="29">
        <f>1</f>
        <v>1</v>
      </c>
      <c r="E17" s="16"/>
      <c r="F17" s="16"/>
      <c r="G17" s="16"/>
      <c r="H17" s="16"/>
      <c r="I17" s="28">
        <f t="shared" ca="1" si="0"/>
        <v>0</v>
      </c>
      <c r="J17" s="29">
        <f>1</f>
        <v>1</v>
      </c>
      <c r="K17" s="16"/>
      <c r="L17" s="16"/>
      <c r="M17" s="16"/>
      <c r="N17" s="16"/>
      <c r="O17" s="28">
        <f t="shared" ca="1" si="1"/>
        <v>0</v>
      </c>
      <c r="P17" s="29">
        <f>1</f>
        <v>1</v>
      </c>
      <c r="Q17" s="16"/>
      <c r="R17" s="16"/>
      <c r="S17" s="16"/>
      <c r="T17" s="16"/>
      <c r="U17" s="28">
        <f t="shared" ca="1" si="2"/>
        <v>0</v>
      </c>
      <c r="V17" s="29">
        <f>1</f>
        <v>1</v>
      </c>
      <c r="W17" s="16">
        <v>1</v>
      </c>
      <c r="X17" s="16">
        <v>0</v>
      </c>
      <c r="Y17" s="16">
        <v>0</v>
      </c>
      <c r="Z17" s="16">
        <v>0</v>
      </c>
      <c r="AA17" s="28">
        <f t="shared" ca="1" si="3"/>
        <v>1</v>
      </c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</row>
    <row r="18" spans="2:121" x14ac:dyDescent="0.25">
      <c r="B18" s="21" t="s">
        <v>3</v>
      </c>
      <c r="C18" s="21"/>
      <c r="D18" s="29">
        <f>1</f>
        <v>1</v>
      </c>
      <c r="E18" s="16"/>
      <c r="F18" s="16"/>
      <c r="G18" s="16"/>
      <c r="H18" s="16"/>
      <c r="I18" s="28">
        <f t="shared" ca="1" si="0"/>
        <v>0</v>
      </c>
      <c r="J18" s="29">
        <f>1</f>
        <v>1</v>
      </c>
      <c r="K18" s="16"/>
      <c r="L18" s="16"/>
      <c r="M18" s="16"/>
      <c r="N18" s="16"/>
      <c r="O18" s="28">
        <f t="shared" ca="1" si="1"/>
        <v>0</v>
      </c>
      <c r="P18" s="29">
        <f>1</f>
        <v>1</v>
      </c>
      <c r="Q18" s="16"/>
      <c r="R18" s="16"/>
      <c r="S18" s="16"/>
      <c r="T18" s="16"/>
      <c r="U18" s="28">
        <f t="shared" ca="1" si="2"/>
        <v>0</v>
      </c>
      <c r="V18" s="29">
        <f>1</f>
        <v>1</v>
      </c>
      <c r="W18" s="16">
        <v>1</v>
      </c>
      <c r="X18" s="16">
        <v>0</v>
      </c>
      <c r="Y18" s="16">
        <v>0</v>
      </c>
      <c r="Z18" s="16">
        <v>0</v>
      </c>
      <c r="AA18" s="28">
        <f t="shared" ca="1" si="3"/>
        <v>1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</row>
    <row r="19" spans="2:121" x14ac:dyDescent="0.25">
      <c r="B19" s="21" t="s">
        <v>3</v>
      </c>
      <c r="C19" s="21"/>
      <c r="D19" s="29">
        <f>1</f>
        <v>1</v>
      </c>
      <c r="E19" s="16"/>
      <c r="F19" s="16"/>
      <c r="G19" s="16"/>
      <c r="H19" s="16"/>
      <c r="I19" s="28">
        <f t="shared" ca="1" si="0"/>
        <v>0</v>
      </c>
      <c r="J19" s="29">
        <f>1</f>
        <v>1</v>
      </c>
      <c r="K19" s="16"/>
      <c r="L19" s="16"/>
      <c r="M19" s="16"/>
      <c r="N19" s="16"/>
      <c r="O19" s="28">
        <f t="shared" ca="1" si="1"/>
        <v>0</v>
      </c>
      <c r="P19" s="29">
        <f>1</f>
        <v>1</v>
      </c>
      <c r="Q19" s="16"/>
      <c r="R19" s="16"/>
      <c r="S19" s="16"/>
      <c r="T19" s="16"/>
      <c r="U19" s="28">
        <f t="shared" ca="1" si="2"/>
        <v>0</v>
      </c>
      <c r="V19" s="29">
        <f>1</f>
        <v>1</v>
      </c>
      <c r="W19" s="16">
        <v>1</v>
      </c>
      <c r="X19" s="16">
        <v>0</v>
      </c>
      <c r="Y19" s="16">
        <v>0</v>
      </c>
      <c r="Z19" s="16">
        <v>0</v>
      </c>
      <c r="AA19" s="28">
        <f t="shared" ca="1" si="3"/>
        <v>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</row>
    <row r="20" spans="2:121" x14ac:dyDescent="0.25">
      <c r="B20" s="21" t="s">
        <v>3</v>
      </c>
      <c r="C20" s="21"/>
      <c r="D20" s="29">
        <f>1</f>
        <v>1</v>
      </c>
      <c r="E20" s="16"/>
      <c r="F20" s="16"/>
      <c r="G20" s="16"/>
      <c r="H20" s="16"/>
      <c r="I20" s="28">
        <f t="shared" ca="1" si="0"/>
        <v>0</v>
      </c>
      <c r="J20" s="29">
        <f>1</f>
        <v>1</v>
      </c>
      <c r="K20" s="16"/>
      <c r="L20" s="16"/>
      <c r="M20" s="16"/>
      <c r="N20" s="16"/>
      <c r="O20" s="28">
        <f t="shared" ca="1" si="1"/>
        <v>0</v>
      </c>
      <c r="P20" s="29">
        <f>1</f>
        <v>1</v>
      </c>
      <c r="Q20" s="16"/>
      <c r="R20" s="16"/>
      <c r="S20" s="16"/>
      <c r="T20" s="16"/>
      <c r="U20" s="28">
        <f t="shared" ca="1" si="2"/>
        <v>0</v>
      </c>
      <c r="V20" s="29">
        <f>1</f>
        <v>1</v>
      </c>
      <c r="W20" s="16">
        <v>1</v>
      </c>
      <c r="X20" s="16">
        <v>0</v>
      </c>
      <c r="Y20" s="16">
        <v>0</v>
      </c>
      <c r="Z20" s="16">
        <v>0</v>
      </c>
      <c r="AA20" s="28">
        <f t="shared" ca="1" si="3"/>
        <v>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</row>
    <row r="21" spans="2:121" x14ac:dyDescent="0.25">
      <c r="B21" s="21" t="s">
        <v>3</v>
      </c>
      <c r="C21" s="21" t="s">
        <v>101</v>
      </c>
      <c r="D21" s="29">
        <f>1</f>
        <v>1</v>
      </c>
      <c r="E21" s="16"/>
      <c r="F21" s="16"/>
      <c r="G21" s="16"/>
      <c r="H21" s="16"/>
      <c r="I21" s="28">
        <f t="shared" ca="1" si="0"/>
        <v>0</v>
      </c>
      <c r="J21" s="29">
        <f>1</f>
        <v>1</v>
      </c>
      <c r="K21" s="16"/>
      <c r="L21" s="16"/>
      <c r="M21" s="16"/>
      <c r="N21" s="16"/>
      <c r="O21" s="28">
        <f t="shared" ca="1" si="1"/>
        <v>0</v>
      </c>
      <c r="P21" s="29">
        <f>1</f>
        <v>1</v>
      </c>
      <c r="Q21" s="16"/>
      <c r="R21" s="16"/>
      <c r="S21" s="16"/>
      <c r="T21" s="16"/>
      <c r="U21" s="28">
        <f t="shared" ca="1" si="2"/>
        <v>0</v>
      </c>
      <c r="V21" s="29">
        <f>1</f>
        <v>1</v>
      </c>
      <c r="W21" s="16"/>
      <c r="X21" s="16"/>
      <c r="Y21" s="16"/>
      <c r="Z21" s="16"/>
      <c r="AA21" s="28">
        <f t="shared" ca="1" si="3"/>
        <v>0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</row>
    <row r="22" spans="2:121" x14ac:dyDescent="0.25">
      <c r="B22" s="18" t="s">
        <v>101</v>
      </c>
      <c r="C22" s="18"/>
      <c r="D22" s="32">
        <f>1</f>
        <v>1</v>
      </c>
      <c r="E22" s="17">
        <f>SUM(E23:E28)</f>
        <v>0</v>
      </c>
      <c r="F22" s="17">
        <f>SUM(F23:F28)</f>
        <v>0</v>
      </c>
      <c r="G22" s="17">
        <f>SUM(G23:G28)</f>
        <v>0</v>
      </c>
      <c r="H22" s="17">
        <f>SUM(H23:H28)</f>
        <v>0</v>
      </c>
      <c r="I22" s="33">
        <f t="shared" ca="1" si="0"/>
        <v>0</v>
      </c>
      <c r="J22" s="32">
        <f>1</f>
        <v>1</v>
      </c>
      <c r="K22" s="17">
        <f>SUM(K23:K28)</f>
        <v>0</v>
      </c>
      <c r="L22" s="17">
        <f>SUM(L23:L28)</f>
        <v>0</v>
      </c>
      <c r="M22" s="17">
        <f>SUM(M23:M28)</f>
        <v>0</v>
      </c>
      <c r="N22" s="17">
        <f>SUM(N23:N28)</f>
        <v>0</v>
      </c>
      <c r="O22" s="33">
        <f t="shared" ca="1" si="1"/>
        <v>0</v>
      </c>
      <c r="P22" s="32">
        <f>1</f>
        <v>1</v>
      </c>
      <c r="Q22" s="17">
        <f>SUM(Q23:Q28)</f>
        <v>0</v>
      </c>
      <c r="R22" s="17">
        <f>SUM(R23:R28)</f>
        <v>0</v>
      </c>
      <c r="S22" s="17">
        <f>SUM(S23:S28)</f>
        <v>0</v>
      </c>
      <c r="T22" s="17">
        <f>SUM(T23:T28)</f>
        <v>0</v>
      </c>
      <c r="U22" s="33">
        <f t="shared" ca="1" si="2"/>
        <v>0</v>
      </c>
      <c r="V22" s="32">
        <f>1</f>
        <v>1</v>
      </c>
      <c r="W22" s="17">
        <f>SUM(W23:W28)</f>
        <v>3</v>
      </c>
      <c r="X22" s="17">
        <f>SUM(X23:X28)</f>
        <v>0</v>
      </c>
      <c r="Y22" s="17">
        <f>SUM(Y23:Y28)</f>
        <v>0</v>
      </c>
      <c r="Z22" s="17">
        <f>SUM(Z23:Z28)</f>
        <v>0</v>
      </c>
      <c r="AA22" s="33">
        <f t="shared" ca="1" si="3"/>
        <v>3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</row>
    <row r="23" spans="2:121" x14ac:dyDescent="0.25">
      <c r="B23" s="21" t="s">
        <v>4</v>
      </c>
      <c r="C23" s="21" t="s">
        <v>101</v>
      </c>
      <c r="D23" s="29">
        <f>1</f>
        <v>1</v>
      </c>
      <c r="E23" s="16">
        <f>IF(E30&lt;0,E30,IF(E51&gt;=0,E51*E16-E16,E37))</f>
        <v>0</v>
      </c>
      <c r="F23" s="16">
        <f>IF(F30&lt;0,F30,IF(F51&gt;=0,F51*F16-F16,F37))</f>
        <v>0</v>
      </c>
      <c r="G23" s="16">
        <f>IF(G30&lt;0,G30,IF(G51&gt;=0,G51*G16-G16,G37))</f>
        <v>0</v>
      </c>
      <c r="H23" s="16">
        <f>IF(H30&lt;0,H30,IF(H51&gt;=0,H51*H16-H16,H37))</f>
        <v>0</v>
      </c>
      <c r="I23" s="28">
        <f t="shared" ca="1" si="0"/>
        <v>0</v>
      </c>
      <c r="J23" s="29">
        <f>1</f>
        <v>1</v>
      </c>
      <c r="K23" s="16">
        <f>IF(K30&lt;0,K30,IF(K51&gt;=0,K51*K16-K16,K37))</f>
        <v>0</v>
      </c>
      <c r="L23" s="16">
        <f>IF(L30&lt;0,L30,IF(L51&gt;=0,L51*L16-L16,L37))</f>
        <v>0</v>
      </c>
      <c r="M23" s="16">
        <f>IF(M30&lt;0,M30,IF(M51&gt;=0,M51*M16-M16,M37))</f>
        <v>0</v>
      </c>
      <c r="N23" s="16">
        <f>IF(N30&lt;0,N30,IF(N51&gt;=0,N51*N16-N16,N37))</f>
        <v>0</v>
      </c>
      <c r="O23" s="28">
        <f t="shared" ca="1" si="1"/>
        <v>0</v>
      </c>
      <c r="P23" s="29">
        <f>1</f>
        <v>1</v>
      </c>
      <c r="Q23" s="16">
        <f>IF(Q30&lt;0,Q30,IF(Q51&gt;=0,Q51*Q16-Q16,Q37))</f>
        <v>0</v>
      </c>
      <c r="R23" s="16">
        <f>IF(R30&lt;0,R30,IF(R51&gt;=0,R51*R16-R16,R37))</f>
        <v>0</v>
      </c>
      <c r="S23" s="16">
        <f>IF(S30&lt;0,S30,IF(S51&gt;=0,S51*S16-S16,S37))</f>
        <v>0</v>
      </c>
      <c r="T23" s="16">
        <f>IF(T30&lt;0,T30,IF(T51&gt;=0,T51*T16-T16,T37))</f>
        <v>0</v>
      </c>
      <c r="U23" s="28">
        <f t="shared" ca="1" si="2"/>
        <v>0</v>
      </c>
      <c r="V23" s="29">
        <f>1</f>
        <v>1</v>
      </c>
      <c r="W23" s="16">
        <f>IF(W30&lt;0,W30,IF(W51&gt;=0,W51*W16-W16,W37))</f>
        <v>-1</v>
      </c>
      <c r="X23" s="16">
        <f>IF(X30&lt;0,X30,IF(X51&gt;=0,X51*X16-X16,X37))</f>
        <v>0</v>
      </c>
      <c r="Y23" s="16">
        <f>IF(Y30&lt;0,Y30,IF(Y51&gt;=0,Y51*Y16-Y16,Y37))</f>
        <v>0</v>
      </c>
      <c r="Z23" s="16">
        <f>IF(Z30&lt;0,Z30,IF(Z51&gt;=0,Z51*Z16-Z16,Z37))</f>
        <v>0</v>
      </c>
      <c r="AA23" s="28">
        <f t="shared" ca="1" si="3"/>
        <v>-1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</row>
    <row r="24" spans="2:121" x14ac:dyDescent="0.25">
      <c r="B24" s="21" t="s">
        <v>4</v>
      </c>
      <c r="C24" s="21" t="s">
        <v>101</v>
      </c>
      <c r="D24" s="29">
        <f>1</f>
        <v>1</v>
      </c>
      <c r="E24" s="16">
        <f t="shared" ref="E24:H28" si="4">IF(E31&lt;0,E31,IF(E52&gt;0,E52*E17-E17,E38))</f>
        <v>0</v>
      </c>
      <c r="F24" s="16">
        <f t="shared" si="4"/>
        <v>0</v>
      </c>
      <c r="G24" s="16">
        <f t="shared" si="4"/>
        <v>0</v>
      </c>
      <c r="H24" s="16">
        <f t="shared" si="4"/>
        <v>0</v>
      </c>
      <c r="I24" s="28">
        <f t="shared" ca="1" si="0"/>
        <v>0</v>
      </c>
      <c r="J24" s="29">
        <f>1</f>
        <v>1</v>
      </c>
      <c r="K24" s="16">
        <f t="shared" ref="K24:N28" si="5">IF(K31&lt;0,K31,IF(K52&gt;0,K52*K17-K17,K38))</f>
        <v>0</v>
      </c>
      <c r="L24" s="16">
        <f t="shared" si="5"/>
        <v>0</v>
      </c>
      <c r="M24" s="16">
        <f t="shared" si="5"/>
        <v>0</v>
      </c>
      <c r="N24" s="16">
        <f t="shared" si="5"/>
        <v>0</v>
      </c>
      <c r="O24" s="28">
        <f t="shared" ca="1" si="1"/>
        <v>0</v>
      </c>
      <c r="P24" s="29">
        <f>1</f>
        <v>1</v>
      </c>
      <c r="Q24" s="16">
        <f t="shared" ref="Q24:T28" si="6">IF(Q31&lt;0,Q31,IF(Q52&gt;0,Q52*Q17-Q17,Q38))</f>
        <v>0</v>
      </c>
      <c r="R24" s="16">
        <f t="shared" si="6"/>
        <v>0</v>
      </c>
      <c r="S24" s="16">
        <f t="shared" si="6"/>
        <v>0</v>
      </c>
      <c r="T24" s="16">
        <f t="shared" si="6"/>
        <v>0</v>
      </c>
      <c r="U24" s="28">
        <f t="shared" ca="1" si="2"/>
        <v>0</v>
      </c>
      <c r="V24" s="29">
        <f>1</f>
        <v>1</v>
      </c>
      <c r="W24" s="16">
        <f t="shared" ref="W24:Z28" si="7">IF(W31&lt;0,W31,IF(W52&gt;0,W52*W17-W17,W38))</f>
        <v>1</v>
      </c>
      <c r="X24" s="16">
        <f t="shared" si="7"/>
        <v>0</v>
      </c>
      <c r="Y24" s="16">
        <f t="shared" si="7"/>
        <v>0</v>
      </c>
      <c r="Z24" s="16">
        <f t="shared" si="7"/>
        <v>0</v>
      </c>
      <c r="AA24" s="28">
        <f t="shared" ca="1" si="3"/>
        <v>1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</row>
    <row r="25" spans="2:121" x14ac:dyDescent="0.25">
      <c r="B25" s="21" t="s">
        <v>4</v>
      </c>
      <c r="C25" s="21"/>
      <c r="D25" s="29">
        <f>1</f>
        <v>1</v>
      </c>
      <c r="E25" s="16">
        <f t="shared" si="4"/>
        <v>0</v>
      </c>
      <c r="F25" s="16">
        <f t="shared" si="4"/>
        <v>0</v>
      </c>
      <c r="G25" s="16">
        <f t="shared" si="4"/>
        <v>0</v>
      </c>
      <c r="H25" s="16">
        <f t="shared" si="4"/>
        <v>0</v>
      </c>
      <c r="I25" s="28">
        <f t="shared" ca="1" si="0"/>
        <v>0</v>
      </c>
      <c r="J25" s="29">
        <f>1</f>
        <v>1</v>
      </c>
      <c r="K25" s="16">
        <f t="shared" si="5"/>
        <v>0</v>
      </c>
      <c r="L25" s="16">
        <f t="shared" si="5"/>
        <v>0</v>
      </c>
      <c r="M25" s="16">
        <f t="shared" si="5"/>
        <v>0</v>
      </c>
      <c r="N25" s="16">
        <f t="shared" si="5"/>
        <v>0</v>
      </c>
      <c r="O25" s="28">
        <f t="shared" ca="1" si="1"/>
        <v>0</v>
      </c>
      <c r="P25" s="29">
        <f>1</f>
        <v>1</v>
      </c>
      <c r="Q25" s="16">
        <f t="shared" si="6"/>
        <v>0</v>
      </c>
      <c r="R25" s="16">
        <f t="shared" si="6"/>
        <v>0</v>
      </c>
      <c r="S25" s="16">
        <f t="shared" si="6"/>
        <v>0</v>
      </c>
      <c r="T25" s="16">
        <f t="shared" si="6"/>
        <v>0</v>
      </c>
      <c r="U25" s="28">
        <f t="shared" ca="1" si="2"/>
        <v>0</v>
      </c>
      <c r="V25" s="29">
        <f>1</f>
        <v>1</v>
      </c>
      <c r="W25" s="16">
        <f t="shared" si="7"/>
        <v>1</v>
      </c>
      <c r="X25" s="16">
        <f t="shared" si="7"/>
        <v>0</v>
      </c>
      <c r="Y25" s="16">
        <f t="shared" si="7"/>
        <v>0</v>
      </c>
      <c r="Z25" s="16">
        <f t="shared" si="7"/>
        <v>0</v>
      </c>
      <c r="AA25" s="28">
        <f t="shared" ca="1" si="3"/>
        <v>1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</row>
    <row r="26" spans="2:121" x14ac:dyDescent="0.25">
      <c r="B26" s="21" t="s">
        <v>4</v>
      </c>
      <c r="C26" s="21"/>
      <c r="D26" s="29">
        <f>1</f>
        <v>1</v>
      </c>
      <c r="E26" s="16">
        <f t="shared" si="4"/>
        <v>0</v>
      </c>
      <c r="F26" s="16">
        <f t="shared" si="4"/>
        <v>0</v>
      </c>
      <c r="G26" s="16">
        <f t="shared" si="4"/>
        <v>0</v>
      </c>
      <c r="H26" s="16">
        <f t="shared" si="4"/>
        <v>0</v>
      </c>
      <c r="I26" s="28">
        <f t="shared" ca="1" si="0"/>
        <v>0</v>
      </c>
      <c r="J26" s="29">
        <f>1</f>
        <v>1</v>
      </c>
      <c r="K26" s="16">
        <f t="shared" si="5"/>
        <v>0</v>
      </c>
      <c r="L26" s="16">
        <f t="shared" si="5"/>
        <v>0</v>
      </c>
      <c r="M26" s="16">
        <f t="shared" si="5"/>
        <v>0</v>
      </c>
      <c r="N26" s="16">
        <f t="shared" si="5"/>
        <v>0</v>
      </c>
      <c r="O26" s="28">
        <f t="shared" ca="1" si="1"/>
        <v>0</v>
      </c>
      <c r="P26" s="29">
        <f>1</f>
        <v>1</v>
      </c>
      <c r="Q26" s="16">
        <f t="shared" si="6"/>
        <v>0</v>
      </c>
      <c r="R26" s="16">
        <f t="shared" si="6"/>
        <v>0</v>
      </c>
      <c r="S26" s="16">
        <f t="shared" si="6"/>
        <v>0</v>
      </c>
      <c r="T26" s="16">
        <f t="shared" si="6"/>
        <v>0</v>
      </c>
      <c r="U26" s="28">
        <f t="shared" ca="1" si="2"/>
        <v>0</v>
      </c>
      <c r="V26" s="29">
        <f>1</f>
        <v>1</v>
      </c>
      <c r="W26" s="16">
        <f t="shared" si="7"/>
        <v>1</v>
      </c>
      <c r="X26" s="16">
        <f t="shared" si="7"/>
        <v>0</v>
      </c>
      <c r="Y26" s="16">
        <f t="shared" si="7"/>
        <v>0</v>
      </c>
      <c r="Z26" s="16">
        <f t="shared" si="7"/>
        <v>0</v>
      </c>
      <c r="AA26" s="28">
        <f t="shared" ca="1" si="3"/>
        <v>1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</row>
    <row r="27" spans="2:121" x14ac:dyDescent="0.25">
      <c r="B27" s="21" t="s">
        <v>4</v>
      </c>
      <c r="C27" s="21"/>
      <c r="D27" s="29">
        <f>1</f>
        <v>1</v>
      </c>
      <c r="E27" s="16">
        <f t="shared" si="4"/>
        <v>0</v>
      </c>
      <c r="F27" s="16">
        <f t="shared" si="4"/>
        <v>0</v>
      </c>
      <c r="G27" s="16">
        <f t="shared" si="4"/>
        <v>0</v>
      </c>
      <c r="H27" s="16">
        <f t="shared" si="4"/>
        <v>0</v>
      </c>
      <c r="I27" s="28">
        <f t="shared" ca="1" si="0"/>
        <v>0</v>
      </c>
      <c r="J27" s="29">
        <f>1</f>
        <v>1</v>
      </c>
      <c r="K27" s="16">
        <f t="shared" si="5"/>
        <v>0</v>
      </c>
      <c r="L27" s="16">
        <f t="shared" si="5"/>
        <v>0</v>
      </c>
      <c r="M27" s="16">
        <f t="shared" si="5"/>
        <v>0</v>
      </c>
      <c r="N27" s="16">
        <f t="shared" si="5"/>
        <v>0</v>
      </c>
      <c r="O27" s="28">
        <f t="shared" ca="1" si="1"/>
        <v>0</v>
      </c>
      <c r="P27" s="29">
        <f>1</f>
        <v>1</v>
      </c>
      <c r="Q27" s="16">
        <f t="shared" si="6"/>
        <v>0</v>
      </c>
      <c r="R27" s="16">
        <f t="shared" si="6"/>
        <v>0</v>
      </c>
      <c r="S27" s="16">
        <f t="shared" si="6"/>
        <v>0</v>
      </c>
      <c r="T27" s="16">
        <f t="shared" si="6"/>
        <v>0</v>
      </c>
      <c r="U27" s="28">
        <f t="shared" ca="1" si="2"/>
        <v>0</v>
      </c>
      <c r="V27" s="29">
        <f>1</f>
        <v>1</v>
      </c>
      <c r="W27" s="16">
        <f t="shared" si="7"/>
        <v>1</v>
      </c>
      <c r="X27" s="16">
        <f t="shared" si="7"/>
        <v>0</v>
      </c>
      <c r="Y27" s="16">
        <f t="shared" si="7"/>
        <v>0</v>
      </c>
      <c r="Z27" s="16">
        <f t="shared" si="7"/>
        <v>0</v>
      </c>
      <c r="AA27" s="28">
        <f t="shared" ca="1" si="3"/>
        <v>1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</row>
    <row r="28" spans="2:121" x14ac:dyDescent="0.25">
      <c r="B28" s="21" t="s">
        <v>4</v>
      </c>
      <c r="C28" s="21" t="s">
        <v>101</v>
      </c>
      <c r="D28" s="29">
        <f>1</f>
        <v>1</v>
      </c>
      <c r="E28" s="16">
        <f t="shared" si="4"/>
        <v>0</v>
      </c>
      <c r="F28" s="16">
        <f t="shared" si="4"/>
        <v>0</v>
      </c>
      <c r="G28" s="16">
        <f t="shared" si="4"/>
        <v>0</v>
      </c>
      <c r="H28" s="16">
        <f t="shared" si="4"/>
        <v>0</v>
      </c>
      <c r="I28" s="28">
        <f t="shared" ca="1" si="0"/>
        <v>0</v>
      </c>
      <c r="J28" s="29">
        <f>1</f>
        <v>1</v>
      </c>
      <c r="K28" s="16">
        <f t="shared" si="5"/>
        <v>0</v>
      </c>
      <c r="L28" s="16">
        <f t="shared" si="5"/>
        <v>0</v>
      </c>
      <c r="M28" s="16">
        <f t="shared" si="5"/>
        <v>0</v>
      </c>
      <c r="N28" s="16">
        <f t="shared" si="5"/>
        <v>0</v>
      </c>
      <c r="O28" s="28">
        <f t="shared" ca="1" si="1"/>
        <v>0</v>
      </c>
      <c r="P28" s="29">
        <f>1</f>
        <v>1</v>
      </c>
      <c r="Q28" s="16">
        <f t="shared" si="6"/>
        <v>0</v>
      </c>
      <c r="R28" s="16">
        <f t="shared" si="6"/>
        <v>0</v>
      </c>
      <c r="S28" s="16">
        <f t="shared" si="6"/>
        <v>0</v>
      </c>
      <c r="T28" s="16">
        <f t="shared" si="6"/>
        <v>0</v>
      </c>
      <c r="U28" s="28">
        <f t="shared" ca="1" si="2"/>
        <v>0</v>
      </c>
      <c r="V28" s="29">
        <f>1</f>
        <v>1</v>
      </c>
      <c r="W28" s="16">
        <f t="shared" si="7"/>
        <v>0</v>
      </c>
      <c r="X28" s="16">
        <f t="shared" si="7"/>
        <v>0</v>
      </c>
      <c r="Y28" s="16">
        <f t="shared" si="7"/>
        <v>0</v>
      </c>
      <c r="Z28" s="16">
        <f t="shared" si="7"/>
        <v>0</v>
      </c>
      <c r="AA28" s="28">
        <f t="shared" ca="1" si="3"/>
        <v>0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</row>
    <row r="29" spans="2:121" x14ac:dyDescent="0.25">
      <c r="B29" s="20" t="s">
        <v>101</v>
      </c>
      <c r="C29" s="20"/>
      <c r="D29" s="42">
        <f t="shared" ref="D29:AA29" si="8">SUM(D30:D35)</f>
        <v>6</v>
      </c>
      <c r="E29" s="43">
        <f t="shared" si="8"/>
        <v>0</v>
      </c>
      <c r="F29" s="43">
        <f t="shared" si="8"/>
        <v>0</v>
      </c>
      <c r="G29" s="43">
        <f t="shared" si="8"/>
        <v>0</v>
      </c>
      <c r="H29" s="43">
        <f t="shared" si="8"/>
        <v>0</v>
      </c>
      <c r="I29" s="44">
        <f t="shared" ca="1" si="8"/>
        <v>0</v>
      </c>
      <c r="J29" s="45">
        <f t="shared" si="8"/>
        <v>6</v>
      </c>
      <c r="K29" s="43">
        <f t="shared" si="8"/>
        <v>0</v>
      </c>
      <c r="L29" s="43">
        <f t="shared" si="8"/>
        <v>0</v>
      </c>
      <c r="M29" s="43">
        <f t="shared" si="8"/>
        <v>0</v>
      </c>
      <c r="N29" s="43">
        <f t="shared" si="8"/>
        <v>0</v>
      </c>
      <c r="O29" s="44">
        <f t="shared" ca="1" si="8"/>
        <v>0</v>
      </c>
      <c r="P29" s="45">
        <f t="shared" si="8"/>
        <v>6</v>
      </c>
      <c r="Q29" s="43">
        <f t="shared" si="8"/>
        <v>0</v>
      </c>
      <c r="R29" s="43">
        <f t="shared" si="8"/>
        <v>0</v>
      </c>
      <c r="S29" s="43">
        <f t="shared" si="8"/>
        <v>0</v>
      </c>
      <c r="T29" s="43">
        <f t="shared" si="8"/>
        <v>0</v>
      </c>
      <c r="U29" s="44">
        <f t="shared" ca="1" si="8"/>
        <v>0</v>
      </c>
      <c r="V29" s="45">
        <f t="shared" si="8"/>
        <v>6</v>
      </c>
      <c r="W29" s="43">
        <f t="shared" si="8"/>
        <v>0</v>
      </c>
      <c r="X29" s="43">
        <f t="shared" si="8"/>
        <v>0</v>
      </c>
      <c r="Y29" s="43">
        <f t="shared" si="8"/>
        <v>0</v>
      </c>
      <c r="Z29" s="43">
        <f t="shared" si="8"/>
        <v>0</v>
      </c>
      <c r="AA29" s="46">
        <f t="shared" ca="1" si="8"/>
        <v>0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</row>
    <row r="30" spans="2:121" outlineLevel="1" x14ac:dyDescent="0.25">
      <c r="B30" s="21" t="s">
        <v>5</v>
      </c>
      <c r="C30" s="21" t="s">
        <v>101</v>
      </c>
      <c r="D30" s="29">
        <f>1</f>
        <v>1</v>
      </c>
      <c r="E30" s="16"/>
      <c r="F30" s="16"/>
      <c r="G30" s="16"/>
      <c r="H30" s="16"/>
      <c r="I30" s="28">
        <f t="shared" ref="I30:I43" ca="1" si="9">IFERROR(IF(INDIRECT(ADDRESS(ROW(),COLUMN()-7))="SA_0001",INDIRECT(ADDRESS(ROW()-7,COLUMN()))/INDIRECT(ADDRESS(ROW()-35,COLUMN())),SUM(E30:H30)),0)</f>
        <v>0</v>
      </c>
      <c r="J30" s="29">
        <f>1</f>
        <v>1</v>
      </c>
      <c r="K30" s="16"/>
      <c r="L30" s="16"/>
      <c r="M30" s="16"/>
      <c r="N30" s="16"/>
      <c r="O30" s="28">
        <f t="shared" ref="O30:O43" ca="1" si="10">IFERROR(IF(INDIRECT(ADDRESS(ROW(),COLUMN()-13))="SA_0001",INDIRECT(ADDRESS(ROW()-7,COLUMN()))/INDIRECT(ADDRESS(ROW()-35,COLUMN())),SUM(K30:N30)),0)</f>
        <v>0</v>
      </c>
      <c r="P30" s="29">
        <f>1</f>
        <v>1</v>
      </c>
      <c r="Q30" s="16"/>
      <c r="R30" s="16"/>
      <c r="S30" s="16"/>
      <c r="T30" s="16"/>
      <c r="U30" s="28">
        <f t="shared" ref="U30:U43" ca="1" si="11">IFERROR(IF(INDIRECT(ADDRESS(ROW(),COLUMN()-19))="SA_0001",INDIRECT(ADDRESS(ROW()-7,COLUMN()))/INDIRECT(ADDRESS(ROW()-35,COLUMN())),SUM(Q30:T30)),0)</f>
        <v>0</v>
      </c>
      <c r="V30" s="29">
        <f>1</f>
        <v>1</v>
      </c>
      <c r="W30" s="16"/>
      <c r="X30" s="16"/>
      <c r="Y30" s="16"/>
      <c r="Z30" s="16"/>
      <c r="AA30" s="28">
        <f t="shared" ref="AA30:AA43" ca="1" si="12">IFERROR(IF(INDIRECT(ADDRESS(ROW(),COLUMN()-25))="SA_0001",INDIRECT(ADDRESS(ROW()-7,COLUMN()))/INDIRECT(ADDRESS(ROW()-35,COLUMN())),SUM(W30:Z30)),0)</f>
        <v>0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</row>
    <row r="31" spans="2:121" outlineLevel="1" x14ac:dyDescent="0.25">
      <c r="B31" s="21" t="s">
        <v>5</v>
      </c>
      <c r="C31" s="21" t="s">
        <v>101</v>
      </c>
      <c r="D31" s="29">
        <f>1</f>
        <v>1</v>
      </c>
      <c r="E31" s="16"/>
      <c r="F31" s="16"/>
      <c r="G31" s="16"/>
      <c r="H31" s="16"/>
      <c r="I31" s="28">
        <f t="shared" ca="1" si="9"/>
        <v>0</v>
      </c>
      <c r="J31" s="29">
        <f>1</f>
        <v>1</v>
      </c>
      <c r="K31" s="16"/>
      <c r="L31" s="16"/>
      <c r="M31" s="16"/>
      <c r="N31" s="16"/>
      <c r="O31" s="28">
        <f t="shared" ca="1" si="10"/>
        <v>0</v>
      </c>
      <c r="P31" s="29">
        <f>1</f>
        <v>1</v>
      </c>
      <c r="Q31" s="16"/>
      <c r="R31" s="16"/>
      <c r="S31" s="16"/>
      <c r="T31" s="16"/>
      <c r="U31" s="28">
        <f t="shared" ca="1" si="11"/>
        <v>0</v>
      </c>
      <c r="V31" s="29">
        <f>1</f>
        <v>1</v>
      </c>
      <c r="W31" s="16"/>
      <c r="X31" s="16"/>
      <c r="Y31" s="16"/>
      <c r="Z31" s="16"/>
      <c r="AA31" s="28">
        <f t="shared" ca="1" si="12"/>
        <v>0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</row>
    <row r="32" spans="2:121" outlineLevel="1" x14ac:dyDescent="0.25">
      <c r="B32" s="21" t="s">
        <v>5</v>
      </c>
      <c r="C32" s="21"/>
      <c r="D32" s="29">
        <f>1</f>
        <v>1</v>
      </c>
      <c r="E32" s="16"/>
      <c r="F32" s="16"/>
      <c r="G32" s="16"/>
      <c r="H32" s="16"/>
      <c r="I32" s="28">
        <f t="shared" ca="1" si="9"/>
        <v>0</v>
      </c>
      <c r="J32" s="29">
        <f>1</f>
        <v>1</v>
      </c>
      <c r="K32" s="16"/>
      <c r="L32" s="16"/>
      <c r="M32" s="16"/>
      <c r="N32" s="16"/>
      <c r="O32" s="28">
        <f t="shared" ca="1" si="10"/>
        <v>0</v>
      </c>
      <c r="P32" s="29">
        <f>1</f>
        <v>1</v>
      </c>
      <c r="Q32" s="16"/>
      <c r="R32" s="16"/>
      <c r="S32" s="16"/>
      <c r="T32" s="16"/>
      <c r="U32" s="28">
        <f t="shared" ca="1" si="11"/>
        <v>0</v>
      </c>
      <c r="V32" s="29">
        <f>1</f>
        <v>1</v>
      </c>
      <c r="W32" s="16"/>
      <c r="X32" s="16"/>
      <c r="Y32" s="16"/>
      <c r="Z32" s="16"/>
      <c r="AA32" s="28">
        <f t="shared" ca="1" si="12"/>
        <v>0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</row>
    <row r="33" spans="2:121" outlineLevel="1" x14ac:dyDescent="0.25">
      <c r="B33" s="21" t="s">
        <v>5</v>
      </c>
      <c r="C33" s="21"/>
      <c r="D33" s="29">
        <f>1</f>
        <v>1</v>
      </c>
      <c r="E33" s="16"/>
      <c r="F33" s="16"/>
      <c r="G33" s="16"/>
      <c r="H33" s="16"/>
      <c r="I33" s="28">
        <f t="shared" ca="1" si="9"/>
        <v>0</v>
      </c>
      <c r="J33" s="29">
        <f>1</f>
        <v>1</v>
      </c>
      <c r="K33" s="16"/>
      <c r="L33" s="16"/>
      <c r="M33" s="16"/>
      <c r="N33" s="16"/>
      <c r="O33" s="28">
        <f t="shared" ca="1" si="10"/>
        <v>0</v>
      </c>
      <c r="P33" s="29">
        <f>1</f>
        <v>1</v>
      </c>
      <c r="Q33" s="16"/>
      <c r="R33" s="16"/>
      <c r="S33" s="16"/>
      <c r="T33" s="16"/>
      <c r="U33" s="28">
        <f t="shared" ca="1" si="11"/>
        <v>0</v>
      </c>
      <c r="V33" s="29">
        <f>1</f>
        <v>1</v>
      </c>
      <c r="W33" s="16"/>
      <c r="X33" s="16"/>
      <c r="Y33" s="16"/>
      <c r="Z33" s="16"/>
      <c r="AA33" s="28">
        <f t="shared" ca="1" si="12"/>
        <v>0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</row>
    <row r="34" spans="2:121" outlineLevel="1" x14ac:dyDescent="0.25">
      <c r="B34" s="21" t="s">
        <v>5</v>
      </c>
      <c r="C34" s="21"/>
      <c r="D34" s="29">
        <f>1</f>
        <v>1</v>
      </c>
      <c r="E34" s="16"/>
      <c r="F34" s="16"/>
      <c r="G34" s="16"/>
      <c r="H34" s="16"/>
      <c r="I34" s="28">
        <f t="shared" ca="1" si="9"/>
        <v>0</v>
      </c>
      <c r="J34" s="29">
        <f>1</f>
        <v>1</v>
      </c>
      <c r="K34" s="16"/>
      <c r="L34" s="16"/>
      <c r="M34" s="16"/>
      <c r="N34" s="16"/>
      <c r="O34" s="28">
        <f t="shared" ca="1" si="10"/>
        <v>0</v>
      </c>
      <c r="P34" s="29">
        <f>1</f>
        <v>1</v>
      </c>
      <c r="Q34" s="16"/>
      <c r="R34" s="16"/>
      <c r="S34" s="16"/>
      <c r="T34" s="16"/>
      <c r="U34" s="28">
        <f t="shared" ca="1" si="11"/>
        <v>0</v>
      </c>
      <c r="V34" s="29">
        <f>1</f>
        <v>1</v>
      </c>
      <c r="W34" s="16"/>
      <c r="X34" s="16"/>
      <c r="Y34" s="16"/>
      <c r="Z34" s="16"/>
      <c r="AA34" s="28">
        <f t="shared" ca="1" si="12"/>
        <v>0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</row>
    <row r="35" spans="2:121" outlineLevel="1" x14ac:dyDescent="0.25">
      <c r="B35" s="21" t="s">
        <v>5</v>
      </c>
      <c r="C35" s="21" t="s">
        <v>101</v>
      </c>
      <c r="D35" s="29">
        <f>1</f>
        <v>1</v>
      </c>
      <c r="E35" s="16"/>
      <c r="F35" s="16"/>
      <c r="G35" s="16"/>
      <c r="H35" s="16"/>
      <c r="I35" s="28">
        <f t="shared" ca="1" si="9"/>
        <v>0</v>
      </c>
      <c r="J35" s="29">
        <f>1</f>
        <v>1</v>
      </c>
      <c r="K35" s="16"/>
      <c r="L35" s="16"/>
      <c r="M35" s="16"/>
      <c r="N35" s="16"/>
      <c r="O35" s="28">
        <f t="shared" ca="1" si="10"/>
        <v>0</v>
      </c>
      <c r="P35" s="29">
        <f>1</f>
        <v>1</v>
      </c>
      <c r="Q35" s="16"/>
      <c r="R35" s="16"/>
      <c r="S35" s="16"/>
      <c r="T35" s="16"/>
      <c r="U35" s="28">
        <f t="shared" ca="1" si="11"/>
        <v>0</v>
      </c>
      <c r="V35" s="29">
        <f>1</f>
        <v>1</v>
      </c>
      <c r="W35" s="16"/>
      <c r="X35" s="16"/>
      <c r="Y35" s="16"/>
      <c r="Z35" s="16"/>
      <c r="AA35" s="28">
        <f t="shared" ca="1" si="12"/>
        <v>0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</row>
    <row r="36" spans="2:121" hidden="1" x14ac:dyDescent="0.25">
      <c r="B36" s="18" t="s">
        <v>101</v>
      </c>
      <c r="C36" s="18"/>
      <c r="D36" s="32">
        <f>1</f>
        <v>1</v>
      </c>
      <c r="E36" s="17">
        <f>SUM(E37:E42)</f>
        <v>0</v>
      </c>
      <c r="F36" s="17">
        <f>SUM(F37:F42)</f>
        <v>0</v>
      </c>
      <c r="G36" s="17">
        <f>SUM(G37:G42)</f>
        <v>0</v>
      </c>
      <c r="H36" s="17">
        <f>SUM(H37:H42)</f>
        <v>0</v>
      </c>
      <c r="I36" s="33">
        <f t="shared" ca="1" si="9"/>
        <v>0</v>
      </c>
      <c r="J36" s="32">
        <f>1</f>
        <v>1</v>
      </c>
      <c r="K36" s="17">
        <f>SUM(K37:K42)</f>
        <v>0</v>
      </c>
      <c r="L36" s="17">
        <f>SUM(L37:L42)</f>
        <v>0</v>
      </c>
      <c r="M36" s="17">
        <f>SUM(M37:M42)</f>
        <v>0</v>
      </c>
      <c r="N36" s="17">
        <f>SUM(N37:N42)</f>
        <v>0</v>
      </c>
      <c r="O36" s="33">
        <f t="shared" ca="1" si="10"/>
        <v>0</v>
      </c>
      <c r="P36" s="32">
        <f>1</f>
        <v>1</v>
      </c>
      <c r="Q36" s="17">
        <f>SUM(Q37:Q42)</f>
        <v>0</v>
      </c>
      <c r="R36" s="17">
        <f>SUM(R37:R42)</f>
        <v>0</v>
      </c>
      <c r="S36" s="17">
        <f>SUM(S37:S42)</f>
        <v>0</v>
      </c>
      <c r="T36" s="17">
        <f>SUM(T37:T42)</f>
        <v>0</v>
      </c>
      <c r="U36" s="33">
        <f t="shared" ca="1" si="11"/>
        <v>0</v>
      </c>
      <c r="V36" s="32">
        <f>1</f>
        <v>1</v>
      </c>
      <c r="W36" s="17">
        <f>SUM(W37:W42)</f>
        <v>5</v>
      </c>
      <c r="X36" s="17">
        <f>SUM(X37:X42)</f>
        <v>0</v>
      </c>
      <c r="Y36" s="17">
        <f>SUM(Y37:Y42)</f>
        <v>0</v>
      </c>
      <c r="Z36" s="17">
        <f>SUM(Z37:Z42)</f>
        <v>0</v>
      </c>
      <c r="AA36" s="33">
        <f t="shared" ca="1" si="12"/>
        <v>5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</row>
    <row r="37" spans="2:121" hidden="1" x14ac:dyDescent="0.25">
      <c r="B37" s="21" t="s">
        <v>4</v>
      </c>
      <c r="C37" s="21" t="s">
        <v>101</v>
      </c>
      <c r="D37" s="29">
        <f>1</f>
        <v>1</v>
      </c>
      <c r="E37" s="16"/>
      <c r="F37" s="16"/>
      <c r="G37" s="16"/>
      <c r="H37" s="16"/>
      <c r="I37" s="28">
        <f t="shared" ca="1" si="9"/>
        <v>0</v>
      </c>
      <c r="J37" s="29">
        <f>1</f>
        <v>1</v>
      </c>
      <c r="K37" s="16"/>
      <c r="L37" s="16"/>
      <c r="M37" s="16"/>
      <c r="N37" s="16"/>
      <c r="O37" s="28">
        <f t="shared" ca="1" si="10"/>
        <v>0</v>
      </c>
      <c r="P37" s="29">
        <f>1</f>
        <v>1</v>
      </c>
      <c r="Q37" s="16"/>
      <c r="R37" s="16"/>
      <c r="S37" s="16"/>
      <c r="T37" s="16"/>
      <c r="U37" s="28">
        <f t="shared" ca="1" si="11"/>
        <v>0</v>
      </c>
      <c r="V37" s="29">
        <f>1</f>
        <v>1</v>
      </c>
      <c r="W37" s="16">
        <v>1</v>
      </c>
      <c r="X37" s="16">
        <v>0</v>
      </c>
      <c r="Y37" s="16">
        <v>0</v>
      </c>
      <c r="Z37" s="16">
        <v>0</v>
      </c>
      <c r="AA37" s="28">
        <f t="shared" ca="1" si="12"/>
        <v>1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</row>
    <row r="38" spans="2:121" hidden="1" x14ac:dyDescent="0.25">
      <c r="B38" s="21" t="s">
        <v>4</v>
      </c>
      <c r="C38" s="21" t="s">
        <v>101</v>
      </c>
      <c r="D38" s="29">
        <f>1</f>
        <v>1</v>
      </c>
      <c r="E38" s="16"/>
      <c r="F38" s="16"/>
      <c r="G38" s="16"/>
      <c r="H38" s="16"/>
      <c r="I38" s="28">
        <f t="shared" ca="1" si="9"/>
        <v>0</v>
      </c>
      <c r="J38" s="29">
        <f>1</f>
        <v>1</v>
      </c>
      <c r="K38" s="16"/>
      <c r="L38" s="16"/>
      <c r="M38" s="16"/>
      <c r="N38" s="16"/>
      <c r="O38" s="28">
        <f t="shared" ca="1" si="10"/>
        <v>0</v>
      </c>
      <c r="P38" s="29">
        <f>1</f>
        <v>1</v>
      </c>
      <c r="Q38" s="16"/>
      <c r="R38" s="16"/>
      <c r="S38" s="16"/>
      <c r="T38" s="16"/>
      <c r="U38" s="28">
        <f t="shared" ca="1" si="11"/>
        <v>0</v>
      </c>
      <c r="V38" s="29">
        <f>1</f>
        <v>1</v>
      </c>
      <c r="W38" s="16">
        <v>1</v>
      </c>
      <c r="X38" s="16">
        <v>0</v>
      </c>
      <c r="Y38" s="16">
        <v>0</v>
      </c>
      <c r="Z38" s="16">
        <v>0</v>
      </c>
      <c r="AA38" s="28">
        <f t="shared" ca="1" si="12"/>
        <v>1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</row>
    <row r="39" spans="2:121" hidden="1" x14ac:dyDescent="0.25">
      <c r="B39" s="21" t="s">
        <v>4</v>
      </c>
      <c r="C39" s="21"/>
      <c r="D39" s="29">
        <f>1</f>
        <v>1</v>
      </c>
      <c r="E39" s="16"/>
      <c r="F39" s="16"/>
      <c r="G39" s="16"/>
      <c r="H39" s="16"/>
      <c r="I39" s="28">
        <f t="shared" ca="1" si="9"/>
        <v>0</v>
      </c>
      <c r="J39" s="29">
        <f>1</f>
        <v>1</v>
      </c>
      <c r="K39" s="16"/>
      <c r="L39" s="16"/>
      <c r="M39" s="16"/>
      <c r="N39" s="16"/>
      <c r="O39" s="28">
        <f t="shared" ca="1" si="10"/>
        <v>0</v>
      </c>
      <c r="P39" s="29">
        <f>1</f>
        <v>1</v>
      </c>
      <c r="Q39" s="16"/>
      <c r="R39" s="16"/>
      <c r="S39" s="16"/>
      <c r="T39" s="16"/>
      <c r="U39" s="28">
        <f t="shared" ca="1" si="11"/>
        <v>0</v>
      </c>
      <c r="V39" s="29">
        <f>1</f>
        <v>1</v>
      </c>
      <c r="W39" s="16">
        <v>1</v>
      </c>
      <c r="X39" s="16">
        <v>0</v>
      </c>
      <c r="Y39" s="16">
        <v>0</v>
      </c>
      <c r="Z39" s="16">
        <v>0</v>
      </c>
      <c r="AA39" s="28">
        <f t="shared" ca="1" si="12"/>
        <v>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</row>
    <row r="40" spans="2:121" hidden="1" x14ac:dyDescent="0.25">
      <c r="B40" s="21" t="s">
        <v>4</v>
      </c>
      <c r="C40" s="21"/>
      <c r="D40" s="29">
        <f>1</f>
        <v>1</v>
      </c>
      <c r="E40" s="16"/>
      <c r="F40" s="16"/>
      <c r="G40" s="16"/>
      <c r="H40" s="16"/>
      <c r="I40" s="28">
        <f t="shared" ca="1" si="9"/>
        <v>0</v>
      </c>
      <c r="J40" s="29">
        <f>1</f>
        <v>1</v>
      </c>
      <c r="K40" s="16"/>
      <c r="L40" s="16"/>
      <c r="M40" s="16"/>
      <c r="N40" s="16"/>
      <c r="O40" s="28">
        <f t="shared" ca="1" si="10"/>
        <v>0</v>
      </c>
      <c r="P40" s="29">
        <f>1</f>
        <v>1</v>
      </c>
      <c r="Q40" s="16"/>
      <c r="R40" s="16"/>
      <c r="S40" s="16"/>
      <c r="T40" s="16"/>
      <c r="U40" s="28">
        <f t="shared" ca="1" si="11"/>
        <v>0</v>
      </c>
      <c r="V40" s="29">
        <f>1</f>
        <v>1</v>
      </c>
      <c r="W40" s="16">
        <v>1</v>
      </c>
      <c r="X40" s="16">
        <v>0</v>
      </c>
      <c r="Y40" s="16">
        <v>0</v>
      </c>
      <c r="Z40" s="16">
        <v>0</v>
      </c>
      <c r="AA40" s="28">
        <f t="shared" ca="1" si="12"/>
        <v>1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</row>
    <row r="41" spans="2:121" hidden="1" x14ac:dyDescent="0.25">
      <c r="B41" s="21" t="s">
        <v>4</v>
      </c>
      <c r="C41" s="21"/>
      <c r="D41" s="29">
        <f>1</f>
        <v>1</v>
      </c>
      <c r="E41" s="16"/>
      <c r="F41" s="16"/>
      <c r="G41" s="16"/>
      <c r="H41" s="16"/>
      <c r="I41" s="28">
        <f t="shared" ca="1" si="9"/>
        <v>0</v>
      </c>
      <c r="J41" s="29">
        <f>1</f>
        <v>1</v>
      </c>
      <c r="K41" s="16"/>
      <c r="L41" s="16"/>
      <c r="M41" s="16"/>
      <c r="N41" s="16"/>
      <c r="O41" s="28">
        <f t="shared" ca="1" si="10"/>
        <v>0</v>
      </c>
      <c r="P41" s="29">
        <f>1</f>
        <v>1</v>
      </c>
      <c r="Q41" s="16"/>
      <c r="R41" s="16"/>
      <c r="S41" s="16"/>
      <c r="T41" s="16"/>
      <c r="U41" s="28">
        <f t="shared" ca="1" si="11"/>
        <v>0</v>
      </c>
      <c r="V41" s="29">
        <f>1</f>
        <v>1</v>
      </c>
      <c r="W41" s="16">
        <v>1</v>
      </c>
      <c r="X41" s="16">
        <v>0</v>
      </c>
      <c r="Y41" s="16">
        <v>0</v>
      </c>
      <c r="Z41" s="16">
        <v>0</v>
      </c>
      <c r="AA41" s="28">
        <f t="shared" ca="1" si="12"/>
        <v>1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</row>
    <row r="42" spans="2:121" hidden="1" x14ac:dyDescent="0.25">
      <c r="B42" s="21" t="s">
        <v>4</v>
      </c>
      <c r="C42" s="21" t="s">
        <v>101</v>
      </c>
      <c r="D42" s="29">
        <f>1</f>
        <v>1</v>
      </c>
      <c r="E42" s="16"/>
      <c r="F42" s="16"/>
      <c r="G42" s="16"/>
      <c r="H42" s="16"/>
      <c r="I42" s="28">
        <f t="shared" ca="1" si="9"/>
        <v>0</v>
      </c>
      <c r="J42" s="29">
        <f>1</f>
        <v>1</v>
      </c>
      <c r="K42" s="16"/>
      <c r="L42" s="16"/>
      <c r="M42" s="16"/>
      <c r="N42" s="16"/>
      <c r="O42" s="28">
        <f t="shared" ca="1" si="10"/>
        <v>0</v>
      </c>
      <c r="P42" s="29">
        <f>1</f>
        <v>1</v>
      </c>
      <c r="Q42" s="16"/>
      <c r="R42" s="16"/>
      <c r="S42" s="16"/>
      <c r="T42" s="16"/>
      <c r="U42" s="28">
        <f t="shared" ca="1" si="11"/>
        <v>0</v>
      </c>
      <c r="V42" s="29">
        <f>1</f>
        <v>1</v>
      </c>
      <c r="W42" s="16"/>
      <c r="X42" s="16"/>
      <c r="Y42" s="16"/>
      <c r="Z42" s="16"/>
      <c r="AA42" s="28">
        <f t="shared" ca="1" si="12"/>
        <v>0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</row>
    <row r="43" spans="2:121" x14ac:dyDescent="0.25">
      <c r="B43" s="18" t="s">
        <v>101</v>
      </c>
      <c r="C43" s="18"/>
      <c r="D43" s="32">
        <f>1</f>
        <v>1</v>
      </c>
      <c r="E43" s="17">
        <f>SUM(E44:E49)</f>
        <v>0</v>
      </c>
      <c r="F43" s="17">
        <f>SUM(F44:F49)</f>
        <v>0</v>
      </c>
      <c r="G43" s="17">
        <f>SUM(G44:G49)</f>
        <v>0</v>
      </c>
      <c r="H43" s="17">
        <f>SUM(H44:H49)</f>
        <v>0</v>
      </c>
      <c r="I43" s="33">
        <f t="shared" ca="1" si="9"/>
        <v>0</v>
      </c>
      <c r="J43" s="32">
        <f>1</f>
        <v>1</v>
      </c>
      <c r="K43" s="17">
        <f>SUM(K44:K49)</f>
        <v>0</v>
      </c>
      <c r="L43" s="17">
        <f>SUM(L44:L49)</f>
        <v>0</v>
      </c>
      <c r="M43" s="17">
        <f>SUM(M44:M49)</f>
        <v>0</v>
      </c>
      <c r="N43" s="17">
        <f>SUM(N44:N49)</f>
        <v>0</v>
      </c>
      <c r="O43" s="33">
        <f t="shared" ca="1" si="10"/>
        <v>0</v>
      </c>
      <c r="P43" s="32">
        <f>1</f>
        <v>1</v>
      </c>
      <c r="Q43" s="17">
        <f>SUM(Q44:Q49)</f>
        <v>0</v>
      </c>
      <c r="R43" s="17">
        <f>SUM(R44:R49)</f>
        <v>0</v>
      </c>
      <c r="S43" s="17">
        <f>SUM(S44:S49)</f>
        <v>0</v>
      </c>
      <c r="T43" s="17">
        <f>SUM(T44:T49)</f>
        <v>0</v>
      </c>
      <c r="U43" s="33">
        <f t="shared" ca="1" si="11"/>
        <v>0</v>
      </c>
      <c r="V43" s="32">
        <f>1</f>
        <v>1</v>
      </c>
      <c r="W43" s="17">
        <f>SUM(W44:W49)</f>
        <v>8</v>
      </c>
      <c r="X43" s="17">
        <f>SUM(X44:X49)</f>
        <v>0</v>
      </c>
      <c r="Y43" s="17">
        <f>SUM(Y44:Y49)</f>
        <v>0</v>
      </c>
      <c r="Z43" s="17">
        <f>SUM(Z44:Z49)</f>
        <v>0</v>
      </c>
      <c r="AA43" s="33">
        <f t="shared" ca="1" si="12"/>
        <v>8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</row>
    <row r="44" spans="2:121" x14ac:dyDescent="0.25">
      <c r="B44" s="21" t="s">
        <v>101</v>
      </c>
      <c r="C44" s="21"/>
      <c r="D44" s="29">
        <f t="shared" ref="D44:AA44" si="13">SUM(D16,D23)</f>
        <v>2</v>
      </c>
      <c r="E44" s="16">
        <f t="shared" si="13"/>
        <v>0</v>
      </c>
      <c r="F44" s="16">
        <f t="shared" si="13"/>
        <v>0</v>
      </c>
      <c r="G44" s="16">
        <f t="shared" si="13"/>
        <v>0</v>
      </c>
      <c r="H44" s="16">
        <f t="shared" si="13"/>
        <v>0</v>
      </c>
      <c r="I44" s="28">
        <f t="shared" ca="1" si="13"/>
        <v>0</v>
      </c>
      <c r="J44" s="29">
        <f t="shared" si="13"/>
        <v>2</v>
      </c>
      <c r="K44" s="16">
        <f t="shared" si="13"/>
        <v>0</v>
      </c>
      <c r="L44" s="16">
        <f t="shared" si="13"/>
        <v>0</v>
      </c>
      <c r="M44" s="16">
        <f t="shared" si="13"/>
        <v>0</v>
      </c>
      <c r="N44" s="16">
        <f t="shared" si="13"/>
        <v>0</v>
      </c>
      <c r="O44" s="28">
        <f t="shared" ca="1" si="13"/>
        <v>0</v>
      </c>
      <c r="P44" s="29">
        <f t="shared" si="13"/>
        <v>2</v>
      </c>
      <c r="Q44" s="16">
        <f t="shared" si="13"/>
        <v>0</v>
      </c>
      <c r="R44" s="16">
        <f t="shared" si="13"/>
        <v>0</v>
      </c>
      <c r="S44" s="16">
        <f t="shared" si="13"/>
        <v>0</v>
      </c>
      <c r="T44" s="16">
        <f t="shared" si="13"/>
        <v>0</v>
      </c>
      <c r="U44" s="28">
        <f t="shared" ca="1" si="13"/>
        <v>0</v>
      </c>
      <c r="V44" s="29">
        <f t="shared" si="13"/>
        <v>2</v>
      </c>
      <c r="W44" s="16">
        <f t="shared" si="13"/>
        <v>0</v>
      </c>
      <c r="X44" s="16">
        <f t="shared" si="13"/>
        <v>0</v>
      </c>
      <c r="Y44" s="16">
        <f t="shared" si="13"/>
        <v>0</v>
      </c>
      <c r="Z44" s="16">
        <f t="shared" si="13"/>
        <v>0</v>
      </c>
      <c r="AA44" s="28">
        <f t="shared" ca="1" si="13"/>
        <v>0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</row>
    <row r="45" spans="2:121" x14ac:dyDescent="0.25">
      <c r="B45" s="21" t="s">
        <v>101</v>
      </c>
      <c r="C45" s="21"/>
      <c r="D45" s="29">
        <f t="shared" ref="D45:AA45" si="14">SUM(D17,D24)</f>
        <v>2</v>
      </c>
      <c r="E45" s="16">
        <f t="shared" si="14"/>
        <v>0</v>
      </c>
      <c r="F45" s="16">
        <f t="shared" si="14"/>
        <v>0</v>
      </c>
      <c r="G45" s="16">
        <f t="shared" si="14"/>
        <v>0</v>
      </c>
      <c r="H45" s="16">
        <f t="shared" si="14"/>
        <v>0</v>
      </c>
      <c r="I45" s="28">
        <f t="shared" ca="1" si="14"/>
        <v>0</v>
      </c>
      <c r="J45" s="29">
        <f t="shared" si="14"/>
        <v>2</v>
      </c>
      <c r="K45" s="16">
        <f t="shared" si="14"/>
        <v>0</v>
      </c>
      <c r="L45" s="16">
        <f t="shared" si="14"/>
        <v>0</v>
      </c>
      <c r="M45" s="16">
        <f t="shared" si="14"/>
        <v>0</v>
      </c>
      <c r="N45" s="16">
        <f t="shared" si="14"/>
        <v>0</v>
      </c>
      <c r="O45" s="28">
        <f t="shared" ca="1" si="14"/>
        <v>0</v>
      </c>
      <c r="P45" s="29">
        <f t="shared" si="14"/>
        <v>2</v>
      </c>
      <c r="Q45" s="16">
        <f t="shared" si="14"/>
        <v>0</v>
      </c>
      <c r="R45" s="16">
        <f t="shared" si="14"/>
        <v>0</v>
      </c>
      <c r="S45" s="16">
        <f t="shared" si="14"/>
        <v>0</v>
      </c>
      <c r="T45" s="16">
        <f t="shared" si="14"/>
        <v>0</v>
      </c>
      <c r="U45" s="28">
        <f t="shared" ca="1" si="14"/>
        <v>0</v>
      </c>
      <c r="V45" s="29">
        <f t="shared" si="14"/>
        <v>2</v>
      </c>
      <c r="W45" s="16">
        <f t="shared" si="14"/>
        <v>2</v>
      </c>
      <c r="X45" s="16">
        <f t="shared" si="14"/>
        <v>0</v>
      </c>
      <c r="Y45" s="16">
        <f t="shared" si="14"/>
        <v>0</v>
      </c>
      <c r="Z45" s="16">
        <f t="shared" si="14"/>
        <v>0</v>
      </c>
      <c r="AA45" s="28">
        <f t="shared" ca="1" si="14"/>
        <v>2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</row>
    <row r="46" spans="2:121" x14ac:dyDescent="0.25">
      <c r="B46" s="21" t="s">
        <v>101</v>
      </c>
      <c r="C46" s="21"/>
      <c r="D46" s="29">
        <f t="shared" ref="D46:AA46" si="15">SUM(D18,D25)</f>
        <v>2</v>
      </c>
      <c r="E46" s="16">
        <f t="shared" si="15"/>
        <v>0</v>
      </c>
      <c r="F46" s="16">
        <f t="shared" si="15"/>
        <v>0</v>
      </c>
      <c r="G46" s="16">
        <f t="shared" si="15"/>
        <v>0</v>
      </c>
      <c r="H46" s="16">
        <f t="shared" si="15"/>
        <v>0</v>
      </c>
      <c r="I46" s="28">
        <f t="shared" ca="1" si="15"/>
        <v>0</v>
      </c>
      <c r="J46" s="29">
        <f t="shared" si="15"/>
        <v>2</v>
      </c>
      <c r="K46" s="16">
        <f t="shared" si="15"/>
        <v>0</v>
      </c>
      <c r="L46" s="16">
        <f t="shared" si="15"/>
        <v>0</v>
      </c>
      <c r="M46" s="16">
        <f t="shared" si="15"/>
        <v>0</v>
      </c>
      <c r="N46" s="16">
        <f t="shared" si="15"/>
        <v>0</v>
      </c>
      <c r="O46" s="28">
        <f t="shared" ca="1" si="15"/>
        <v>0</v>
      </c>
      <c r="P46" s="29">
        <f t="shared" si="15"/>
        <v>2</v>
      </c>
      <c r="Q46" s="16">
        <f t="shared" si="15"/>
        <v>0</v>
      </c>
      <c r="R46" s="16">
        <f t="shared" si="15"/>
        <v>0</v>
      </c>
      <c r="S46" s="16">
        <f t="shared" si="15"/>
        <v>0</v>
      </c>
      <c r="T46" s="16">
        <f t="shared" si="15"/>
        <v>0</v>
      </c>
      <c r="U46" s="28">
        <f t="shared" ca="1" si="15"/>
        <v>0</v>
      </c>
      <c r="V46" s="29">
        <f t="shared" si="15"/>
        <v>2</v>
      </c>
      <c r="W46" s="16">
        <f t="shared" si="15"/>
        <v>2</v>
      </c>
      <c r="X46" s="16">
        <f t="shared" si="15"/>
        <v>0</v>
      </c>
      <c r="Y46" s="16">
        <f t="shared" si="15"/>
        <v>0</v>
      </c>
      <c r="Z46" s="16">
        <f t="shared" si="15"/>
        <v>0</v>
      </c>
      <c r="AA46" s="28">
        <f t="shared" ca="1" si="15"/>
        <v>2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</row>
    <row r="47" spans="2:121" x14ac:dyDescent="0.25">
      <c r="B47" s="21" t="s">
        <v>101</v>
      </c>
      <c r="C47" s="21"/>
      <c r="D47" s="29">
        <f t="shared" ref="D47:AA47" si="16">SUM(D19,D26)</f>
        <v>2</v>
      </c>
      <c r="E47" s="16">
        <f t="shared" si="16"/>
        <v>0</v>
      </c>
      <c r="F47" s="16">
        <f t="shared" si="16"/>
        <v>0</v>
      </c>
      <c r="G47" s="16">
        <f t="shared" si="16"/>
        <v>0</v>
      </c>
      <c r="H47" s="16">
        <f t="shared" si="16"/>
        <v>0</v>
      </c>
      <c r="I47" s="28">
        <f t="shared" ca="1" si="16"/>
        <v>0</v>
      </c>
      <c r="J47" s="29">
        <f t="shared" si="16"/>
        <v>2</v>
      </c>
      <c r="K47" s="16">
        <f t="shared" si="16"/>
        <v>0</v>
      </c>
      <c r="L47" s="16">
        <f t="shared" si="16"/>
        <v>0</v>
      </c>
      <c r="M47" s="16">
        <f t="shared" si="16"/>
        <v>0</v>
      </c>
      <c r="N47" s="16">
        <f t="shared" si="16"/>
        <v>0</v>
      </c>
      <c r="O47" s="28">
        <f t="shared" ca="1" si="16"/>
        <v>0</v>
      </c>
      <c r="P47" s="29">
        <f t="shared" si="16"/>
        <v>2</v>
      </c>
      <c r="Q47" s="16">
        <f t="shared" si="16"/>
        <v>0</v>
      </c>
      <c r="R47" s="16">
        <f t="shared" si="16"/>
        <v>0</v>
      </c>
      <c r="S47" s="16">
        <f t="shared" si="16"/>
        <v>0</v>
      </c>
      <c r="T47" s="16">
        <f t="shared" si="16"/>
        <v>0</v>
      </c>
      <c r="U47" s="28">
        <f t="shared" ca="1" si="16"/>
        <v>0</v>
      </c>
      <c r="V47" s="29">
        <f t="shared" si="16"/>
        <v>2</v>
      </c>
      <c r="W47" s="16">
        <f t="shared" si="16"/>
        <v>2</v>
      </c>
      <c r="X47" s="16">
        <f t="shared" si="16"/>
        <v>0</v>
      </c>
      <c r="Y47" s="16">
        <f t="shared" si="16"/>
        <v>0</v>
      </c>
      <c r="Z47" s="16">
        <f t="shared" si="16"/>
        <v>0</v>
      </c>
      <c r="AA47" s="28">
        <f t="shared" ca="1" si="16"/>
        <v>2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</row>
    <row r="48" spans="2:121" x14ac:dyDescent="0.25">
      <c r="B48" s="21" t="s">
        <v>101</v>
      </c>
      <c r="C48" s="21" t="s">
        <v>101</v>
      </c>
      <c r="D48" s="29">
        <f t="shared" ref="D48:AA48" si="17">SUM(D20,D27)</f>
        <v>2</v>
      </c>
      <c r="E48" s="16">
        <f t="shared" si="17"/>
        <v>0</v>
      </c>
      <c r="F48" s="16">
        <f t="shared" si="17"/>
        <v>0</v>
      </c>
      <c r="G48" s="16">
        <f t="shared" si="17"/>
        <v>0</v>
      </c>
      <c r="H48" s="16">
        <f t="shared" si="17"/>
        <v>0</v>
      </c>
      <c r="I48" s="28">
        <f t="shared" ca="1" si="17"/>
        <v>0</v>
      </c>
      <c r="J48" s="29">
        <f t="shared" si="17"/>
        <v>2</v>
      </c>
      <c r="K48" s="16">
        <f t="shared" si="17"/>
        <v>0</v>
      </c>
      <c r="L48" s="16">
        <f t="shared" si="17"/>
        <v>0</v>
      </c>
      <c r="M48" s="16">
        <f t="shared" si="17"/>
        <v>0</v>
      </c>
      <c r="N48" s="16">
        <f t="shared" si="17"/>
        <v>0</v>
      </c>
      <c r="O48" s="28">
        <f t="shared" ca="1" si="17"/>
        <v>0</v>
      </c>
      <c r="P48" s="29">
        <f t="shared" si="17"/>
        <v>2</v>
      </c>
      <c r="Q48" s="16">
        <f t="shared" si="17"/>
        <v>0</v>
      </c>
      <c r="R48" s="16">
        <f t="shared" si="17"/>
        <v>0</v>
      </c>
      <c r="S48" s="16">
        <f t="shared" si="17"/>
        <v>0</v>
      </c>
      <c r="T48" s="16">
        <f t="shared" si="17"/>
        <v>0</v>
      </c>
      <c r="U48" s="28">
        <f t="shared" ca="1" si="17"/>
        <v>0</v>
      </c>
      <c r="V48" s="29">
        <f t="shared" si="17"/>
        <v>2</v>
      </c>
      <c r="W48" s="16">
        <f t="shared" si="17"/>
        <v>2</v>
      </c>
      <c r="X48" s="16">
        <f t="shared" si="17"/>
        <v>0</v>
      </c>
      <c r="Y48" s="16">
        <f t="shared" si="17"/>
        <v>0</v>
      </c>
      <c r="Z48" s="16">
        <f t="shared" si="17"/>
        <v>0</v>
      </c>
      <c r="AA48" s="28">
        <f t="shared" ca="1" si="17"/>
        <v>2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</row>
    <row r="49" spans="2:121" x14ac:dyDescent="0.25">
      <c r="B49" s="21" t="s">
        <v>101</v>
      </c>
      <c r="C49" s="21" t="s">
        <v>101</v>
      </c>
      <c r="D49" s="29">
        <f t="shared" ref="D49:AA49" si="18">SUM(D21,D28)</f>
        <v>2</v>
      </c>
      <c r="E49" s="16">
        <f t="shared" si="18"/>
        <v>0</v>
      </c>
      <c r="F49" s="16">
        <f t="shared" si="18"/>
        <v>0</v>
      </c>
      <c r="G49" s="16">
        <f t="shared" si="18"/>
        <v>0</v>
      </c>
      <c r="H49" s="16">
        <f t="shared" si="18"/>
        <v>0</v>
      </c>
      <c r="I49" s="28">
        <f t="shared" ca="1" si="18"/>
        <v>0</v>
      </c>
      <c r="J49" s="29">
        <f t="shared" si="18"/>
        <v>2</v>
      </c>
      <c r="K49" s="16">
        <f t="shared" si="18"/>
        <v>0</v>
      </c>
      <c r="L49" s="16">
        <f t="shared" si="18"/>
        <v>0</v>
      </c>
      <c r="M49" s="16">
        <f t="shared" si="18"/>
        <v>0</v>
      </c>
      <c r="N49" s="16">
        <f t="shared" si="18"/>
        <v>0</v>
      </c>
      <c r="O49" s="28">
        <f t="shared" ca="1" si="18"/>
        <v>0</v>
      </c>
      <c r="P49" s="29">
        <f t="shared" si="18"/>
        <v>2</v>
      </c>
      <c r="Q49" s="16">
        <f t="shared" si="18"/>
        <v>0</v>
      </c>
      <c r="R49" s="16">
        <f t="shared" si="18"/>
        <v>0</v>
      </c>
      <c r="S49" s="16">
        <f t="shared" si="18"/>
        <v>0</v>
      </c>
      <c r="T49" s="16">
        <f t="shared" si="18"/>
        <v>0</v>
      </c>
      <c r="U49" s="28">
        <f t="shared" ca="1" si="18"/>
        <v>0</v>
      </c>
      <c r="V49" s="29">
        <f t="shared" si="18"/>
        <v>2</v>
      </c>
      <c r="W49" s="16">
        <f t="shared" si="18"/>
        <v>0</v>
      </c>
      <c r="X49" s="16">
        <f t="shared" si="18"/>
        <v>0</v>
      </c>
      <c r="Y49" s="16">
        <f t="shared" si="18"/>
        <v>0</v>
      </c>
      <c r="Z49" s="16">
        <f t="shared" si="18"/>
        <v>0</v>
      </c>
      <c r="AA49" s="28">
        <f t="shared" ca="1" si="18"/>
        <v>0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</row>
    <row r="50" spans="2:121" x14ac:dyDescent="0.25">
      <c r="B50" s="18" t="s">
        <v>101</v>
      </c>
      <c r="C50" s="18" t="s">
        <v>101</v>
      </c>
      <c r="D50" s="39">
        <f t="shared" ref="D50:AA50" si="19">IFERROR(D43/D15,0)</f>
        <v>1</v>
      </c>
      <c r="E50" s="13">
        <f t="shared" si="19"/>
        <v>0</v>
      </c>
      <c r="F50" s="13">
        <f t="shared" si="19"/>
        <v>0</v>
      </c>
      <c r="G50" s="13">
        <f t="shared" si="19"/>
        <v>0</v>
      </c>
      <c r="H50" s="13">
        <f t="shared" si="19"/>
        <v>0</v>
      </c>
      <c r="I50" s="40">
        <f t="shared" ca="1" si="19"/>
        <v>0</v>
      </c>
      <c r="J50" s="39">
        <f t="shared" si="19"/>
        <v>1</v>
      </c>
      <c r="K50" s="13">
        <f t="shared" si="19"/>
        <v>0</v>
      </c>
      <c r="L50" s="13">
        <f t="shared" si="19"/>
        <v>0</v>
      </c>
      <c r="M50" s="13">
        <f t="shared" si="19"/>
        <v>0</v>
      </c>
      <c r="N50" s="13">
        <f t="shared" si="19"/>
        <v>0</v>
      </c>
      <c r="O50" s="40">
        <f t="shared" ca="1" si="19"/>
        <v>0</v>
      </c>
      <c r="P50" s="39">
        <f t="shared" si="19"/>
        <v>1</v>
      </c>
      <c r="Q50" s="13">
        <f t="shared" si="19"/>
        <v>0</v>
      </c>
      <c r="R50" s="13">
        <f t="shared" si="19"/>
        <v>0</v>
      </c>
      <c r="S50" s="13">
        <f t="shared" si="19"/>
        <v>0</v>
      </c>
      <c r="T50" s="13">
        <f t="shared" si="19"/>
        <v>0</v>
      </c>
      <c r="U50" s="40">
        <f t="shared" ca="1" si="19"/>
        <v>0</v>
      </c>
      <c r="V50" s="39">
        <f t="shared" si="19"/>
        <v>1</v>
      </c>
      <c r="W50" s="13">
        <f t="shared" si="19"/>
        <v>1.6</v>
      </c>
      <c r="X50" s="13">
        <f t="shared" si="19"/>
        <v>0</v>
      </c>
      <c r="Y50" s="13">
        <f t="shared" si="19"/>
        <v>0</v>
      </c>
      <c r="Z50" s="13">
        <f t="shared" si="19"/>
        <v>0</v>
      </c>
      <c r="AA50" s="40">
        <f t="shared" ca="1" si="19"/>
        <v>1.6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</row>
    <row r="51" spans="2:121" x14ac:dyDescent="0.25">
      <c r="B51" s="21" t="s">
        <v>6</v>
      </c>
      <c r="C51" s="21" t="s">
        <v>101</v>
      </c>
      <c r="D51" s="35">
        <f>1</f>
        <v>1</v>
      </c>
      <c r="E51" s="34"/>
      <c r="F51" s="34"/>
      <c r="G51" s="34"/>
      <c r="H51" s="34"/>
      <c r="I51" s="36">
        <f t="shared" ref="I51:I56" ca="1" si="20">IFERROR(IF(INDIRECT(ADDRESS(ROW(),COLUMN()-7))="SA_0001",INDIRECT(ADDRESS(ROW()-7,COLUMN()))/INDIRECT(ADDRESS(ROW()-35,COLUMN())),SUM(E51:H51)),0)</f>
        <v>0</v>
      </c>
      <c r="J51" s="35">
        <f>1</f>
        <v>1</v>
      </c>
      <c r="K51" s="34"/>
      <c r="L51" s="34"/>
      <c r="M51" s="34"/>
      <c r="N51" s="34"/>
      <c r="O51" s="36">
        <f t="shared" ref="O51:O56" ca="1" si="21">IFERROR(IF(INDIRECT(ADDRESS(ROW(),COLUMN()-13))="SA_0001",INDIRECT(ADDRESS(ROW()-7,COLUMN()))/INDIRECT(ADDRESS(ROW()-35,COLUMN())),SUM(K51:N51)),0)</f>
        <v>0</v>
      </c>
      <c r="P51" s="35">
        <f>1</f>
        <v>1</v>
      </c>
      <c r="Q51" s="34"/>
      <c r="R51" s="34"/>
      <c r="S51" s="34"/>
      <c r="T51" s="34"/>
      <c r="U51" s="36">
        <f t="shared" ref="U51:U56" ca="1" si="22">IFERROR(IF(INDIRECT(ADDRESS(ROW(),COLUMN()-19))="SA_0001",INDIRECT(ADDRESS(ROW()-7,COLUMN()))/INDIRECT(ADDRESS(ROW()-35,COLUMN())),SUM(Q51:T51)),0)</f>
        <v>0</v>
      </c>
      <c r="V51" s="35">
        <f>1</f>
        <v>1</v>
      </c>
      <c r="W51" s="34"/>
      <c r="X51" s="34"/>
      <c r="Y51" s="34"/>
      <c r="Z51" s="34"/>
      <c r="AA51" s="36">
        <f t="shared" ref="AA51:AA56" ca="1" si="23">IFERROR(IF(INDIRECT(ADDRESS(ROW(),COLUMN()-25))="SA_0001",INDIRECT(ADDRESS(ROW()-7,COLUMN()))/INDIRECT(ADDRESS(ROW()-35,COLUMN())),SUM(W51:Z51)),0)</f>
        <v>0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</row>
    <row r="52" spans="2:121" x14ac:dyDescent="0.25">
      <c r="B52" s="21" t="s">
        <v>6</v>
      </c>
      <c r="C52" s="21" t="s">
        <v>101</v>
      </c>
      <c r="D52" s="35">
        <f>1</f>
        <v>1</v>
      </c>
      <c r="E52" s="34"/>
      <c r="F52" s="34"/>
      <c r="G52" s="34"/>
      <c r="H52" s="34"/>
      <c r="I52" s="36">
        <f t="shared" ca="1" si="20"/>
        <v>0</v>
      </c>
      <c r="J52" s="35">
        <f>1</f>
        <v>1</v>
      </c>
      <c r="K52" s="34"/>
      <c r="L52" s="34"/>
      <c r="M52" s="34"/>
      <c r="N52" s="34"/>
      <c r="O52" s="36">
        <f t="shared" ca="1" si="21"/>
        <v>0</v>
      </c>
      <c r="P52" s="35">
        <f>1</f>
        <v>1</v>
      </c>
      <c r="Q52" s="34"/>
      <c r="R52" s="34"/>
      <c r="S52" s="34"/>
      <c r="T52" s="34"/>
      <c r="U52" s="36">
        <f t="shared" ca="1" si="22"/>
        <v>0</v>
      </c>
      <c r="V52" s="35">
        <f>1</f>
        <v>1</v>
      </c>
      <c r="W52" s="34"/>
      <c r="X52" s="34"/>
      <c r="Y52" s="34"/>
      <c r="Z52" s="34"/>
      <c r="AA52" s="36">
        <f t="shared" ca="1" si="23"/>
        <v>2</v>
      </c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</row>
    <row r="53" spans="2:121" x14ac:dyDescent="0.25">
      <c r="B53" s="21" t="s">
        <v>6</v>
      </c>
      <c r="C53" s="21"/>
      <c r="D53" s="35">
        <f>1</f>
        <v>1</v>
      </c>
      <c r="E53" s="34"/>
      <c r="F53" s="34"/>
      <c r="G53" s="34"/>
      <c r="H53" s="34"/>
      <c r="I53" s="36">
        <f t="shared" ca="1" si="20"/>
        <v>0</v>
      </c>
      <c r="J53" s="35">
        <f>1</f>
        <v>1</v>
      </c>
      <c r="K53" s="34"/>
      <c r="L53" s="34"/>
      <c r="M53" s="34"/>
      <c r="N53" s="34"/>
      <c r="O53" s="36">
        <f t="shared" ca="1" si="21"/>
        <v>0</v>
      </c>
      <c r="P53" s="35">
        <f>1</f>
        <v>1</v>
      </c>
      <c r="Q53" s="34"/>
      <c r="R53" s="34"/>
      <c r="S53" s="34"/>
      <c r="T53" s="34"/>
      <c r="U53" s="36">
        <f t="shared" ca="1" si="22"/>
        <v>0</v>
      </c>
      <c r="V53" s="35">
        <f>1</f>
        <v>1</v>
      </c>
      <c r="W53" s="34"/>
      <c r="X53" s="34"/>
      <c r="Y53" s="34"/>
      <c r="Z53" s="34"/>
      <c r="AA53" s="36">
        <f t="shared" ca="1" si="23"/>
        <v>2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</row>
    <row r="54" spans="2:121" x14ac:dyDescent="0.25">
      <c r="B54" s="21" t="s">
        <v>6</v>
      </c>
      <c r="C54" s="21"/>
      <c r="D54" s="35">
        <f>1</f>
        <v>1</v>
      </c>
      <c r="E54" s="34"/>
      <c r="F54" s="34"/>
      <c r="G54" s="34"/>
      <c r="H54" s="34"/>
      <c r="I54" s="36">
        <f t="shared" ca="1" si="20"/>
        <v>0</v>
      </c>
      <c r="J54" s="35">
        <f>1</f>
        <v>1</v>
      </c>
      <c r="K54" s="34"/>
      <c r="L54" s="34"/>
      <c r="M54" s="34"/>
      <c r="N54" s="34"/>
      <c r="O54" s="36">
        <f t="shared" ca="1" si="21"/>
        <v>0</v>
      </c>
      <c r="P54" s="35">
        <f>1</f>
        <v>1</v>
      </c>
      <c r="Q54" s="34"/>
      <c r="R54" s="34"/>
      <c r="S54" s="34"/>
      <c r="T54" s="34"/>
      <c r="U54" s="36">
        <f t="shared" ca="1" si="22"/>
        <v>0</v>
      </c>
      <c r="V54" s="35">
        <f>1</f>
        <v>1</v>
      </c>
      <c r="W54" s="34"/>
      <c r="X54" s="34"/>
      <c r="Y54" s="34"/>
      <c r="Z54" s="34"/>
      <c r="AA54" s="36">
        <f t="shared" ca="1" si="23"/>
        <v>2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</row>
    <row r="55" spans="2:121" x14ac:dyDescent="0.25">
      <c r="B55" s="21" t="s">
        <v>6</v>
      </c>
      <c r="C55" s="21"/>
      <c r="D55" s="35">
        <f>1</f>
        <v>1</v>
      </c>
      <c r="E55" s="34"/>
      <c r="F55" s="34"/>
      <c r="G55" s="34"/>
      <c r="H55" s="34"/>
      <c r="I55" s="36">
        <f t="shared" ca="1" si="20"/>
        <v>0</v>
      </c>
      <c r="J55" s="35">
        <f>1</f>
        <v>1</v>
      </c>
      <c r="K55" s="34"/>
      <c r="L55" s="34"/>
      <c r="M55" s="34"/>
      <c r="N55" s="34"/>
      <c r="O55" s="36">
        <f t="shared" ca="1" si="21"/>
        <v>0</v>
      </c>
      <c r="P55" s="35">
        <f>1</f>
        <v>1</v>
      </c>
      <c r="Q55" s="34"/>
      <c r="R55" s="34"/>
      <c r="S55" s="34"/>
      <c r="T55" s="34"/>
      <c r="U55" s="36">
        <f t="shared" ca="1" si="22"/>
        <v>0</v>
      </c>
      <c r="V55" s="35">
        <f>1</f>
        <v>1</v>
      </c>
      <c r="W55" s="34"/>
      <c r="X55" s="34"/>
      <c r="Y55" s="34"/>
      <c r="Z55" s="34"/>
      <c r="AA55" s="36">
        <f t="shared" ca="1" si="23"/>
        <v>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</row>
    <row r="56" spans="2:121" x14ac:dyDescent="0.25">
      <c r="B56" s="21" t="s">
        <v>6</v>
      </c>
      <c r="C56" s="21" t="s">
        <v>101</v>
      </c>
      <c r="D56" s="35">
        <f>1</f>
        <v>1</v>
      </c>
      <c r="E56" s="34"/>
      <c r="F56" s="34"/>
      <c r="G56" s="34"/>
      <c r="H56" s="34"/>
      <c r="I56" s="36">
        <f t="shared" ca="1" si="20"/>
        <v>0</v>
      </c>
      <c r="J56" s="35">
        <f>1</f>
        <v>1</v>
      </c>
      <c r="K56" s="34"/>
      <c r="L56" s="34"/>
      <c r="M56" s="34"/>
      <c r="N56" s="34"/>
      <c r="O56" s="36">
        <f t="shared" ca="1" si="21"/>
        <v>0</v>
      </c>
      <c r="P56" s="35">
        <f>1</f>
        <v>1</v>
      </c>
      <c r="Q56" s="34"/>
      <c r="R56" s="34"/>
      <c r="S56" s="34"/>
      <c r="T56" s="34"/>
      <c r="U56" s="36">
        <f t="shared" ca="1" si="22"/>
        <v>0</v>
      </c>
      <c r="V56" s="35">
        <f>1</f>
        <v>1</v>
      </c>
      <c r="W56" s="34"/>
      <c r="X56" s="34"/>
      <c r="Y56" s="34"/>
      <c r="Z56" s="34"/>
      <c r="AA56" s="36">
        <f t="shared" ca="1" si="23"/>
        <v>0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</row>
    <row r="57" spans="2:121" x14ac:dyDescent="0.25">
      <c r="B57" s="20" t="s">
        <v>101</v>
      </c>
      <c r="C57" s="20" t="s">
        <v>101</v>
      </c>
      <c r="D57" s="26">
        <f t="shared" ref="D57:AA57" si="24">IFERROR(D43/D15,0)</f>
        <v>1</v>
      </c>
      <c r="E57" s="27">
        <f t="shared" si="24"/>
        <v>0</v>
      </c>
      <c r="F57" s="27">
        <f t="shared" si="24"/>
        <v>0</v>
      </c>
      <c r="G57" s="27">
        <f t="shared" si="24"/>
        <v>0</v>
      </c>
      <c r="H57" s="27">
        <f t="shared" si="24"/>
        <v>0</v>
      </c>
      <c r="I57" s="23">
        <f t="shared" ca="1" si="24"/>
        <v>0</v>
      </c>
      <c r="J57" s="22">
        <f t="shared" si="24"/>
        <v>1</v>
      </c>
      <c r="K57" s="27">
        <f t="shared" si="24"/>
        <v>0</v>
      </c>
      <c r="L57" s="27">
        <f t="shared" si="24"/>
        <v>0</v>
      </c>
      <c r="M57" s="27">
        <f t="shared" si="24"/>
        <v>0</v>
      </c>
      <c r="N57" s="27">
        <f t="shared" si="24"/>
        <v>0</v>
      </c>
      <c r="O57" s="23">
        <f t="shared" ca="1" si="24"/>
        <v>0</v>
      </c>
      <c r="P57" s="22">
        <f t="shared" si="24"/>
        <v>1</v>
      </c>
      <c r="Q57" s="27">
        <f t="shared" si="24"/>
        <v>0</v>
      </c>
      <c r="R57" s="27">
        <f t="shared" si="24"/>
        <v>0</v>
      </c>
      <c r="S57" s="27">
        <f t="shared" si="24"/>
        <v>0</v>
      </c>
      <c r="T57" s="27">
        <f t="shared" si="24"/>
        <v>0</v>
      </c>
      <c r="U57" s="23">
        <f t="shared" ca="1" si="24"/>
        <v>0</v>
      </c>
      <c r="V57" s="22">
        <f t="shared" si="24"/>
        <v>1</v>
      </c>
      <c r="W57" s="27">
        <f t="shared" si="24"/>
        <v>1.6</v>
      </c>
      <c r="X57" s="27">
        <f t="shared" si="24"/>
        <v>0</v>
      </c>
      <c r="Y57" s="27">
        <f t="shared" si="24"/>
        <v>0</v>
      </c>
      <c r="Z57" s="27">
        <f t="shared" si="24"/>
        <v>0</v>
      </c>
      <c r="AA57" s="41">
        <f t="shared" ca="1" si="24"/>
        <v>1.6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</row>
    <row r="58" spans="2:121" outlineLevel="1" x14ac:dyDescent="0.25">
      <c r="B58" s="21" t="s">
        <v>101</v>
      </c>
      <c r="C58" s="21"/>
      <c r="D58" s="31">
        <f t="shared" ref="D58:AA58" si="25">IFERROR(D44/D16,0)</f>
        <v>2</v>
      </c>
      <c r="E58" s="15">
        <f t="shared" si="25"/>
        <v>0</v>
      </c>
      <c r="F58" s="15">
        <f t="shared" si="25"/>
        <v>0</v>
      </c>
      <c r="G58" s="15">
        <f t="shared" si="25"/>
        <v>0</v>
      </c>
      <c r="H58" s="15">
        <f t="shared" si="25"/>
        <v>0</v>
      </c>
      <c r="I58" s="25">
        <f t="shared" ca="1" si="25"/>
        <v>0</v>
      </c>
      <c r="J58" s="31">
        <f t="shared" si="25"/>
        <v>2</v>
      </c>
      <c r="K58" s="15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25">
        <f t="shared" ca="1" si="25"/>
        <v>0</v>
      </c>
      <c r="P58" s="31">
        <f t="shared" si="25"/>
        <v>2</v>
      </c>
      <c r="Q58" s="15">
        <f t="shared" si="25"/>
        <v>0</v>
      </c>
      <c r="R58" s="15">
        <f t="shared" si="25"/>
        <v>0</v>
      </c>
      <c r="S58" s="15">
        <f t="shared" si="25"/>
        <v>0</v>
      </c>
      <c r="T58" s="15">
        <f t="shared" si="25"/>
        <v>0</v>
      </c>
      <c r="U58" s="25">
        <f t="shared" ca="1" si="25"/>
        <v>0</v>
      </c>
      <c r="V58" s="31">
        <f t="shared" si="25"/>
        <v>2</v>
      </c>
      <c r="W58" s="15">
        <f t="shared" si="25"/>
        <v>0</v>
      </c>
      <c r="X58" s="15">
        <f t="shared" si="25"/>
        <v>0</v>
      </c>
      <c r="Y58" s="15">
        <f t="shared" si="25"/>
        <v>0</v>
      </c>
      <c r="Z58" s="15">
        <f t="shared" si="25"/>
        <v>0</v>
      </c>
      <c r="AA58" s="25">
        <f t="shared" ca="1" si="25"/>
        <v>0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</row>
    <row r="59" spans="2:121" outlineLevel="1" x14ac:dyDescent="0.25">
      <c r="B59" s="21" t="s">
        <v>101</v>
      </c>
      <c r="C59" s="21"/>
      <c r="D59" s="31">
        <f t="shared" ref="D59:AA59" si="26">IFERROR(D45/D17,0)</f>
        <v>2</v>
      </c>
      <c r="E59" s="15">
        <f t="shared" si="26"/>
        <v>0</v>
      </c>
      <c r="F59" s="15">
        <f t="shared" si="26"/>
        <v>0</v>
      </c>
      <c r="G59" s="15">
        <f t="shared" si="26"/>
        <v>0</v>
      </c>
      <c r="H59" s="15">
        <f t="shared" si="26"/>
        <v>0</v>
      </c>
      <c r="I59" s="25">
        <f t="shared" ca="1" si="26"/>
        <v>0</v>
      </c>
      <c r="J59" s="31">
        <f t="shared" si="26"/>
        <v>2</v>
      </c>
      <c r="K59" s="15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25">
        <f t="shared" ca="1" si="26"/>
        <v>0</v>
      </c>
      <c r="P59" s="31">
        <f t="shared" si="26"/>
        <v>2</v>
      </c>
      <c r="Q59" s="15">
        <f t="shared" si="26"/>
        <v>0</v>
      </c>
      <c r="R59" s="15">
        <f t="shared" si="26"/>
        <v>0</v>
      </c>
      <c r="S59" s="15">
        <f t="shared" si="26"/>
        <v>0</v>
      </c>
      <c r="T59" s="15">
        <f t="shared" si="26"/>
        <v>0</v>
      </c>
      <c r="U59" s="25">
        <f t="shared" ca="1" si="26"/>
        <v>0</v>
      </c>
      <c r="V59" s="31">
        <f t="shared" si="26"/>
        <v>2</v>
      </c>
      <c r="W59" s="15">
        <f t="shared" si="26"/>
        <v>2</v>
      </c>
      <c r="X59" s="15">
        <f t="shared" si="26"/>
        <v>0</v>
      </c>
      <c r="Y59" s="15">
        <f t="shared" si="26"/>
        <v>0</v>
      </c>
      <c r="Z59" s="15">
        <f t="shared" si="26"/>
        <v>0</v>
      </c>
      <c r="AA59" s="25">
        <f t="shared" ca="1" si="26"/>
        <v>2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</row>
    <row r="60" spans="2:121" outlineLevel="1" x14ac:dyDescent="0.25">
      <c r="B60" s="21" t="s">
        <v>101</v>
      </c>
      <c r="C60" s="21"/>
      <c r="D60" s="31">
        <f t="shared" ref="D60:AA60" si="27">IFERROR(D46/D18,0)</f>
        <v>2</v>
      </c>
      <c r="E60" s="15">
        <f t="shared" si="27"/>
        <v>0</v>
      </c>
      <c r="F60" s="15">
        <f t="shared" si="27"/>
        <v>0</v>
      </c>
      <c r="G60" s="15">
        <f t="shared" si="27"/>
        <v>0</v>
      </c>
      <c r="H60" s="15">
        <f t="shared" si="27"/>
        <v>0</v>
      </c>
      <c r="I60" s="25">
        <f t="shared" ca="1" si="27"/>
        <v>0</v>
      </c>
      <c r="J60" s="31">
        <f t="shared" si="27"/>
        <v>2</v>
      </c>
      <c r="K60" s="15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25">
        <f t="shared" ca="1" si="27"/>
        <v>0</v>
      </c>
      <c r="P60" s="31">
        <f t="shared" si="27"/>
        <v>2</v>
      </c>
      <c r="Q60" s="15">
        <f t="shared" si="27"/>
        <v>0</v>
      </c>
      <c r="R60" s="15">
        <f t="shared" si="27"/>
        <v>0</v>
      </c>
      <c r="S60" s="15">
        <f t="shared" si="27"/>
        <v>0</v>
      </c>
      <c r="T60" s="15">
        <f t="shared" si="27"/>
        <v>0</v>
      </c>
      <c r="U60" s="25">
        <f t="shared" ca="1" si="27"/>
        <v>0</v>
      </c>
      <c r="V60" s="31">
        <f t="shared" si="27"/>
        <v>2</v>
      </c>
      <c r="W60" s="15">
        <f t="shared" si="27"/>
        <v>2</v>
      </c>
      <c r="X60" s="15">
        <f t="shared" si="27"/>
        <v>0</v>
      </c>
      <c r="Y60" s="15">
        <f t="shared" si="27"/>
        <v>0</v>
      </c>
      <c r="Z60" s="15">
        <f t="shared" si="27"/>
        <v>0</v>
      </c>
      <c r="AA60" s="25">
        <f t="shared" ca="1" si="27"/>
        <v>2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</row>
    <row r="61" spans="2:121" outlineLevel="1" x14ac:dyDescent="0.25">
      <c r="B61" s="21" t="s">
        <v>101</v>
      </c>
      <c r="C61" s="21"/>
      <c r="D61" s="31">
        <f t="shared" ref="D61:AA61" si="28">IFERROR(D47/D19,0)</f>
        <v>2</v>
      </c>
      <c r="E61" s="15">
        <f t="shared" si="28"/>
        <v>0</v>
      </c>
      <c r="F61" s="15">
        <f t="shared" si="28"/>
        <v>0</v>
      </c>
      <c r="G61" s="15">
        <f t="shared" si="28"/>
        <v>0</v>
      </c>
      <c r="H61" s="15">
        <f t="shared" si="28"/>
        <v>0</v>
      </c>
      <c r="I61" s="25">
        <f t="shared" ca="1" si="28"/>
        <v>0</v>
      </c>
      <c r="J61" s="31">
        <f t="shared" si="28"/>
        <v>2</v>
      </c>
      <c r="K61" s="15">
        <f t="shared" si="28"/>
        <v>0</v>
      </c>
      <c r="L61" s="15">
        <f t="shared" si="28"/>
        <v>0</v>
      </c>
      <c r="M61" s="15">
        <f t="shared" si="28"/>
        <v>0</v>
      </c>
      <c r="N61" s="15">
        <f t="shared" si="28"/>
        <v>0</v>
      </c>
      <c r="O61" s="25">
        <f t="shared" ca="1" si="28"/>
        <v>0</v>
      </c>
      <c r="P61" s="31">
        <f t="shared" si="28"/>
        <v>2</v>
      </c>
      <c r="Q61" s="15">
        <f t="shared" si="28"/>
        <v>0</v>
      </c>
      <c r="R61" s="15">
        <f t="shared" si="28"/>
        <v>0</v>
      </c>
      <c r="S61" s="15">
        <f t="shared" si="28"/>
        <v>0</v>
      </c>
      <c r="T61" s="15">
        <f t="shared" si="28"/>
        <v>0</v>
      </c>
      <c r="U61" s="25">
        <f t="shared" ca="1" si="28"/>
        <v>0</v>
      </c>
      <c r="V61" s="31">
        <f t="shared" si="28"/>
        <v>2</v>
      </c>
      <c r="W61" s="15">
        <f t="shared" si="28"/>
        <v>2</v>
      </c>
      <c r="X61" s="15">
        <f t="shared" si="28"/>
        <v>0</v>
      </c>
      <c r="Y61" s="15">
        <f t="shared" si="28"/>
        <v>0</v>
      </c>
      <c r="Z61" s="15">
        <f t="shared" si="28"/>
        <v>0</v>
      </c>
      <c r="AA61" s="25">
        <f t="shared" ca="1" si="28"/>
        <v>2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</row>
    <row r="62" spans="2:121" outlineLevel="1" x14ac:dyDescent="0.25">
      <c r="B62" s="21" t="s">
        <v>101</v>
      </c>
      <c r="C62" s="21" t="s">
        <v>101</v>
      </c>
      <c r="D62" s="31">
        <f t="shared" ref="D62:AA62" si="29">IFERROR(D48/D20,0)</f>
        <v>2</v>
      </c>
      <c r="E62" s="15">
        <f t="shared" si="29"/>
        <v>0</v>
      </c>
      <c r="F62" s="15">
        <f t="shared" si="29"/>
        <v>0</v>
      </c>
      <c r="G62" s="15">
        <f t="shared" si="29"/>
        <v>0</v>
      </c>
      <c r="H62" s="15">
        <f t="shared" si="29"/>
        <v>0</v>
      </c>
      <c r="I62" s="25">
        <f t="shared" ca="1" si="29"/>
        <v>0</v>
      </c>
      <c r="J62" s="31">
        <f t="shared" si="29"/>
        <v>2</v>
      </c>
      <c r="K62" s="15">
        <f t="shared" si="29"/>
        <v>0</v>
      </c>
      <c r="L62" s="15">
        <f t="shared" si="29"/>
        <v>0</v>
      </c>
      <c r="M62" s="15">
        <f t="shared" si="29"/>
        <v>0</v>
      </c>
      <c r="N62" s="15">
        <f t="shared" si="29"/>
        <v>0</v>
      </c>
      <c r="O62" s="25">
        <f t="shared" ca="1" si="29"/>
        <v>0</v>
      </c>
      <c r="P62" s="31">
        <f t="shared" si="29"/>
        <v>2</v>
      </c>
      <c r="Q62" s="15">
        <f t="shared" si="29"/>
        <v>0</v>
      </c>
      <c r="R62" s="15">
        <f t="shared" si="29"/>
        <v>0</v>
      </c>
      <c r="S62" s="15">
        <f t="shared" si="29"/>
        <v>0</v>
      </c>
      <c r="T62" s="15">
        <f t="shared" si="29"/>
        <v>0</v>
      </c>
      <c r="U62" s="25">
        <f t="shared" ca="1" si="29"/>
        <v>0</v>
      </c>
      <c r="V62" s="31">
        <f t="shared" si="29"/>
        <v>2</v>
      </c>
      <c r="W62" s="15">
        <f t="shared" si="29"/>
        <v>2</v>
      </c>
      <c r="X62" s="15">
        <f t="shared" si="29"/>
        <v>0</v>
      </c>
      <c r="Y62" s="15">
        <f t="shared" si="29"/>
        <v>0</v>
      </c>
      <c r="Z62" s="15">
        <f t="shared" si="29"/>
        <v>0</v>
      </c>
      <c r="AA62" s="25">
        <f t="shared" ca="1" si="29"/>
        <v>2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</row>
    <row r="63" spans="2:121" outlineLevel="1" x14ac:dyDescent="0.25">
      <c r="B63" s="21" t="s">
        <v>101</v>
      </c>
      <c r="C63" s="21" t="s">
        <v>101</v>
      </c>
      <c r="D63" s="31">
        <f t="shared" ref="D63:AA63" si="30">IFERROR(D49/D21,0)</f>
        <v>2</v>
      </c>
      <c r="E63" s="15">
        <f t="shared" si="30"/>
        <v>0</v>
      </c>
      <c r="F63" s="15">
        <f t="shared" si="30"/>
        <v>0</v>
      </c>
      <c r="G63" s="15">
        <f t="shared" si="30"/>
        <v>0</v>
      </c>
      <c r="H63" s="15">
        <f t="shared" si="30"/>
        <v>0</v>
      </c>
      <c r="I63" s="25">
        <f t="shared" ca="1" si="30"/>
        <v>0</v>
      </c>
      <c r="J63" s="31">
        <f t="shared" si="30"/>
        <v>2</v>
      </c>
      <c r="K63" s="15">
        <f t="shared" si="30"/>
        <v>0</v>
      </c>
      <c r="L63" s="15">
        <f t="shared" si="30"/>
        <v>0</v>
      </c>
      <c r="M63" s="15">
        <f t="shared" si="30"/>
        <v>0</v>
      </c>
      <c r="N63" s="15">
        <f t="shared" si="30"/>
        <v>0</v>
      </c>
      <c r="O63" s="25">
        <f t="shared" ca="1" si="30"/>
        <v>0</v>
      </c>
      <c r="P63" s="31">
        <f t="shared" si="30"/>
        <v>2</v>
      </c>
      <c r="Q63" s="15">
        <f t="shared" si="30"/>
        <v>0</v>
      </c>
      <c r="R63" s="15">
        <f t="shared" si="30"/>
        <v>0</v>
      </c>
      <c r="S63" s="15">
        <f t="shared" si="30"/>
        <v>0</v>
      </c>
      <c r="T63" s="15">
        <f t="shared" si="30"/>
        <v>0</v>
      </c>
      <c r="U63" s="25">
        <f t="shared" ca="1" si="30"/>
        <v>0</v>
      </c>
      <c r="V63" s="31">
        <f t="shared" si="30"/>
        <v>2</v>
      </c>
      <c r="W63" s="15">
        <f t="shared" si="30"/>
        <v>0</v>
      </c>
      <c r="X63" s="15">
        <f t="shared" si="30"/>
        <v>0</v>
      </c>
      <c r="Y63" s="15">
        <f t="shared" si="30"/>
        <v>0</v>
      </c>
      <c r="Z63" s="15">
        <f t="shared" si="30"/>
        <v>0</v>
      </c>
      <c r="AA63" s="25">
        <f t="shared" ca="1" si="30"/>
        <v>0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</row>
    <row r="64" spans="2:121" x14ac:dyDescent="0.25">
      <c r="B64" s="37" t="s">
        <v>7</v>
      </c>
      <c r="C64" s="37"/>
      <c r="D64" s="29">
        <f>1</f>
        <v>1</v>
      </c>
      <c r="E64" s="16"/>
      <c r="F64" s="16"/>
      <c r="G64" s="16"/>
      <c r="H64" s="16"/>
      <c r="I64" s="28">
        <f ca="1">IFERROR(IF(INDIRECT(ADDRESS(ROW(),COLUMN()-7))="SA_0001",INDIRECT(ADDRESS(ROW()-7,COLUMN()))/INDIRECT(ADDRESS(ROW()-35,COLUMN())),SUM(E64:H64)),0)</f>
        <v>0</v>
      </c>
      <c r="J64" s="29">
        <f>1</f>
        <v>1</v>
      </c>
      <c r="K64" s="16"/>
      <c r="L64" s="16"/>
      <c r="M64" s="16"/>
      <c r="N64" s="16"/>
      <c r="O64" s="28">
        <f ca="1">IFERROR(IF(INDIRECT(ADDRESS(ROW(),COLUMN()-13))="SA_0001",INDIRECT(ADDRESS(ROW()-7,COLUMN()))/INDIRECT(ADDRESS(ROW()-35,COLUMN())),SUM(K64:N64)),0)</f>
        <v>0</v>
      </c>
      <c r="P64" s="29">
        <f>1</f>
        <v>1</v>
      </c>
      <c r="Q64" s="16"/>
      <c r="R64" s="16"/>
      <c r="S64" s="16"/>
      <c r="T64" s="16"/>
      <c r="U64" s="28">
        <f ca="1">IFERROR(IF(INDIRECT(ADDRESS(ROW(),COLUMN()-19))="SA_0001",INDIRECT(ADDRESS(ROW()-7,COLUMN()))/INDIRECT(ADDRESS(ROW()-35,COLUMN())),SUM(Q64:T64)),0)</f>
        <v>0</v>
      </c>
      <c r="V64" s="29">
        <f>1</f>
        <v>1</v>
      </c>
      <c r="W64" s="16"/>
      <c r="X64" s="16"/>
      <c r="Y64" s="16"/>
      <c r="Z64" s="16"/>
      <c r="AA64" s="28">
        <f ca="1">IFERROR(IF(INDIRECT(ADDRESS(ROW(),COLUMN()-25))="SA_0001",INDIRECT(ADDRESS(ROW()-7,COLUMN()))/INDIRECT(ADDRESS(ROW()-35,COLUMN())),SUM(W64:Z64)),0)</f>
        <v>0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</row>
    <row r="65" spans="2:121" x14ac:dyDescent="0.25">
      <c r="B65" s="18" t="s">
        <v>101</v>
      </c>
      <c r="C65" s="18"/>
      <c r="D65" s="32">
        <f t="shared" ref="D65:AA65" si="31">SUM(D43,D64)</f>
        <v>2</v>
      </c>
      <c r="E65" s="17">
        <f t="shared" si="31"/>
        <v>0</v>
      </c>
      <c r="F65" s="17">
        <f t="shared" si="31"/>
        <v>0</v>
      </c>
      <c r="G65" s="17">
        <f t="shared" si="31"/>
        <v>0</v>
      </c>
      <c r="H65" s="17">
        <f t="shared" si="31"/>
        <v>0</v>
      </c>
      <c r="I65" s="33">
        <f t="shared" ca="1" si="31"/>
        <v>0</v>
      </c>
      <c r="J65" s="32">
        <f t="shared" si="31"/>
        <v>2</v>
      </c>
      <c r="K65" s="17">
        <f t="shared" si="31"/>
        <v>0</v>
      </c>
      <c r="L65" s="17">
        <f t="shared" si="31"/>
        <v>0</v>
      </c>
      <c r="M65" s="17">
        <f t="shared" si="31"/>
        <v>0</v>
      </c>
      <c r="N65" s="17">
        <f t="shared" si="31"/>
        <v>0</v>
      </c>
      <c r="O65" s="33">
        <f t="shared" ca="1" si="31"/>
        <v>0</v>
      </c>
      <c r="P65" s="32">
        <f t="shared" si="31"/>
        <v>2</v>
      </c>
      <c r="Q65" s="17">
        <f t="shared" si="31"/>
        <v>0</v>
      </c>
      <c r="R65" s="17">
        <f t="shared" si="31"/>
        <v>0</v>
      </c>
      <c r="S65" s="17">
        <f t="shared" si="31"/>
        <v>0</v>
      </c>
      <c r="T65" s="17">
        <f t="shared" si="31"/>
        <v>0</v>
      </c>
      <c r="U65" s="33">
        <f t="shared" ca="1" si="31"/>
        <v>0</v>
      </c>
      <c r="V65" s="32">
        <f t="shared" si="31"/>
        <v>2</v>
      </c>
      <c r="W65" s="17">
        <f t="shared" si="31"/>
        <v>8</v>
      </c>
      <c r="X65" s="17">
        <f t="shared" si="31"/>
        <v>0</v>
      </c>
      <c r="Y65" s="17">
        <f t="shared" si="31"/>
        <v>0</v>
      </c>
      <c r="Z65" s="17">
        <f t="shared" si="31"/>
        <v>0</v>
      </c>
      <c r="AA65" s="33">
        <f t="shared" ca="1" si="31"/>
        <v>8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</row>
    <row r="66" spans="2:121" x14ac:dyDescent="0.25">
      <c r="B66" s="38" t="s">
        <v>101</v>
      </c>
      <c r="C66" s="38"/>
      <c r="D66" s="39">
        <f t="shared" ref="D66:AA66" si="32">IFERROR(D65/D15,0)</f>
        <v>2</v>
      </c>
      <c r="E66" s="13">
        <f t="shared" si="32"/>
        <v>0</v>
      </c>
      <c r="F66" s="13">
        <f t="shared" si="32"/>
        <v>0</v>
      </c>
      <c r="G66" s="13">
        <f t="shared" si="32"/>
        <v>0</v>
      </c>
      <c r="H66" s="13">
        <f t="shared" si="32"/>
        <v>0</v>
      </c>
      <c r="I66" s="40">
        <f t="shared" ca="1" si="32"/>
        <v>0</v>
      </c>
      <c r="J66" s="39">
        <f t="shared" si="32"/>
        <v>2</v>
      </c>
      <c r="K66" s="13">
        <f t="shared" si="32"/>
        <v>0</v>
      </c>
      <c r="L66" s="13">
        <f t="shared" si="32"/>
        <v>0</v>
      </c>
      <c r="M66" s="13">
        <f t="shared" si="32"/>
        <v>0</v>
      </c>
      <c r="N66" s="13">
        <f t="shared" si="32"/>
        <v>0</v>
      </c>
      <c r="O66" s="40">
        <f t="shared" ca="1" si="32"/>
        <v>0</v>
      </c>
      <c r="P66" s="39">
        <f t="shared" si="32"/>
        <v>2</v>
      </c>
      <c r="Q66" s="13">
        <f t="shared" si="32"/>
        <v>0</v>
      </c>
      <c r="R66" s="13">
        <f t="shared" si="32"/>
        <v>0</v>
      </c>
      <c r="S66" s="13">
        <f t="shared" si="32"/>
        <v>0</v>
      </c>
      <c r="T66" s="13">
        <f t="shared" si="32"/>
        <v>0</v>
      </c>
      <c r="U66" s="40">
        <f t="shared" ca="1" si="32"/>
        <v>0</v>
      </c>
      <c r="V66" s="39">
        <f t="shared" si="32"/>
        <v>2</v>
      </c>
      <c r="W66" s="13">
        <f t="shared" si="32"/>
        <v>1.6</v>
      </c>
      <c r="X66" s="13">
        <f t="shared" si="32"/>
        <v>0</v>
      </c>
      <c r="Y66" s="13">
        <f t="shared" si="32"/>
        <v>0</v>
      </c>
      <c r="Z66" s="13">
        <f t="shared" si="32"/>
        <v>0</v>
      </c>
      <c r="AA66" s="40">
        <f t="shared" ca="1" si="32"/>
        <v>1.6</v>
      </c>
      <c r="AB66" s="4"/>
      <c r="AC66" s="4"/>
      <c r="AD66" s="4"/>
      <c r="AE66" s="4"/>
      <c r="AF66" s="4"/>
      <c r="AG66" s="4"/>
      <c r="AH66" s="4"/>
      <c r="AI66" s="4"/>
      <c r="AJ66" s="4"/>
    </row>
    <row r="67" spans="2:121" x14ac:dyDescent="0.25">
      <c r="B67" s="5"/>
      <c r="C67" s="5"/>
      <c r="D67" s="5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</row>
    <row r="68" spans="2:121" x14ac:dyDescent="0.25">
      <c r="B68" s="5"/>
      <c r="C68" s="5"/>
      <c r="D68" s="5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</row>
    <row r="69" spans="2:121" x14ac:dyDescent="0.25">
      <c r="B69" s="5"/>
      <c r="C69" s="5"/>
      <c r="D69" s="5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</row>
    <row r="70" spans="2:121" ht="15.75" thickBot="1" x14ac:dyDescent="0.3">
      <c r="B70" s="5"/>
      <c r="C70" s="5"/>
      <c r="D70" s="5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</sheetData>
  <mergeCells count="4">
    <mergeCell ref="E4:O4"/>
    <mergeCell ref="E6:O6"/>
    <mergeCell ref="E8:O8"/>
    <mergeCell ref="C2:U2"/>
  </mergeCells>
  <conditionalFormatting sqref="D10:D27">
    <cfRule type="expression" dxfId="62" priority="29">
      <formula>D10&lt;&gt;""</formula>
    </cfRule>
  </conditionalFormatting>
  <conditionalFormatting sqref="D31:D55">
    <cfRule type="expression" dxfId="61" priority="28">
      <formula>D31&lt;&gt;""</formula>
    </cfRule>
  </conditionalFormatting>
  <conditionalFormatting sqref="J10:J27">
    <cfRule type="expression" dxfId="60" priority="26">
      <formula>J10&lt;&gt;""</formula>
    </cfRule>
  </conditionalFormatting>
  <conditionalFormatting sqref="J59:J66">
    <cfRule type="expression" dxfId="59" priority="24">
      <formula>J59&lt;&gt;""</formula>
    </cfRule>
  </conditionalFormatting>
  <conditionalFormatting sqref="P10:P27">
    <cfRule type="expression" dxfId="58" priority="23">
      <formula>P10&lt;&gt;""</formula>
    </cfRule>
  </conditionalFormatting>
  <conditionalFormatting sqref="P31:P55">
    <cfRule type="expression" dxfId="57" priority="22">
      <formula>P31&lt;&gt;""</formula>
    </cfRule>
  </conditionalFormatting>
  <conditionalFormatting sqref="P59:P66">
    <cfRule type="expression" dxfId="56" priority="21">
      <formula>P59&lt;&gt;""</formula>
    </cfRule>
  </conditionalFormatting>
  <conditionalFormatting sqref="V10:V27">
    <cfRule type="expression" dxfId="55" priority="20">
      <formula>V10&lt;&gt;""</formula>
    </cfRule>
  </conditionalFormatting>
  <conditionalFormatting sqref="V31:V55">
    <cfRule type="expression" dxfId="54" priority="19">
      <formula>V31&lt;&gt;""</formula>
    </cfRule>
  </conditionalFormatting>
  <conditionalFormatting sqref="V59:V66">
    <cfRule type="expression" dxfId="53" priority="18">
      <formula>V59&lt;&gt;""</formula>
    </cfRule>
  </conditionalFormatting>
  <conditionalFormatting sqref="D26">
    <cfRule type="expression" dxfId="52" priority="17">
      <formula>D26=6</formula>
    </cfRule>
  </conditionalFormatting>
  <conditionalFormatting sqref="J31:J55">
    <cfRule type="expression" dxfId="51" priority="14">
      <formula>J31&lt;&gt;""</formula>
    </cfRule>
  </conditionalFormatting>
  <conditionalFormatting sqref="D59:D66">
    <cfRule type="expression" dxfId="50" priority="9">
      <formula>D59&lt;&gt;""</formula>
    </cfRule>
  </conditionalFormatting>
  <conditionalFormatting sqref="D57">
    <cfRule type="expression" dxfId="49" priority="8">
      <formula>D57&lt;&gt;""</formula>
    </cfRule>
  </conditionalFormatting>
  <conditionalFormatting sqref="J29">
    <cfRule type="expression" dxfId="48" priority="7">
      <formula>J29&lt;&gt;""</formula>
    </cfRule>
  </conditionalFormatting>
  <conditionalFormatting sqref="P29">
    <cfRule type="expression" dxfId="47" priority="6">
      <formula>P29&lt;&gt;""</formula>
    </cfRule>
  </conditionalFormatting>
  <conditionalFormatting sqref="P57">
    <cfRule type="expression" dxfId="46" priority="5">
      <formula>P57&lt;&gt;""</formula>
    </cfRule>
  </conditionalFormatting>
  <conditionalFormatting sqref="J57">
    <cfRule type="expression" dxfId="45" priority="4">
      <formula>J57&lt;&gt;""</formula>
    </cfRule>
  </conditionalFormatting>
  <conditionalFormatting sqref="V57">
    <cfRule type="expression" dxfId="44" priority="3">
      <formula>V57&lt;&gt;""</formula>
    </cfRule>
  </conditionalFormatting>
  <conditionalFormatting sqref="V29">
    <cfRule type="expression" dxfId="43" priority="2">
      <formula>V29&lt;&gt;""</formula>
    </cfRule>
  </conditionalFormatting>
  <conditionalFormatting sqref="D29">
    <cfRule type="expression" dxfId="42" priority="1">
      <formula>D29&lt;&gt;""</formula>
    </cfRule>
  </conditionalFormatting>
  <pageMargins left="0.7" right="0.7" top="0.75" bottom="0.75" header="0.3" footer="0.3"/>
  <pageSetup paperSize="9" orientation="portrait" r:id="rId1"/>
  <customProperties>
    <customPr name="TGK_SHEET_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DQ70"/>
  <sheetViews>
    <sheetView showGridLines="0" topLeftCell="A2" workbookViewId="0">
      <selection activeCell="F14" sqref="F14"/>
    </sheetView>
  </sheetViews>
  <sheetFormatPr defaultRowHeight="15" outlineLevelRow="1" outlineLevelCol="1" x14ac:dyDescent="0.25"/>
  <cols>
    <col min="1" max="1" width="2.5703125" customWidth="1"/>
    <col min="2" max="2" width="4.5703125" hidden="1" customWidth="1"/>
    <col min="3" max="3" width="27" customWidth="1"/>
    <col min="4" max="4" width="1.140625" customWidth="1"/>
    <col min="5" max="9" width="9.42578125" customWidth="1"/>
    <col min="10" max="10" width="1.140625" customWidth="1"/>
    <col min="11" max="14" width="9.42578125" customWidth="1"/>
    <col min="15" max="15" width="9.85546875" customWidth="1"/>
    <col min="16" max="16" width="1.140625" customWidth="1"/>
    <col min="17" max="20" width="9.42578125" customWidth="1"/>
    <col min="21" max="21" width="9.85546875" customWidth="1"/>
    <col min="22" max="22" width="1.140625" customWidth="1"/>
    <col min="23" max="26" width="9.42578125" hidden="1" customWidth="1" outlineLevel="1"/>
    <col min="27" max="27" width="10.5703125" bestFit="1" customWidth="1" collapsed="1"/>
    <col min="28" max="30" width="10.42578125" bestFit="1" customWidth="1"/>
    <col min="31" max="31" width="10.5703125" bestFit="1" customWidth="1"/>
    <col min="32" max="32" width="10" bestFit="1" customWidth="1"/>
    <col min="33" max="33" width="10.140625" bestFit="1" customWidth="1"/>
    <col min="34" max="36" width="10.28515625" bestFit="1" customWidth="1"/>
    <col min="37" max="37" width="10.140625" bestFit="1" customWidth="1"/>
    <col min="38" max="38" width="10.42578125" bestFit="1" customWidth="1"/>
    <col min="39" max="42" width="10.28515625" bestFit="1" customWidth="1"/>
    <col min="43" max="43" width="10.42578125" bestFit="1" customWidth="1"/>
    <col min="44" max="44" width="10.140625" bestFit="1" customWidth="1"/>
    <col min="45" max="47" width="10.28515625" bestFit="1" customWidth="1"/>
    <col min="48" max="48" width="10.140625" bestFit="1" customWidth="1"/>
    <col min="49" max="49" width="10.42578125" bestFit="1" customWidth="1"/>
    <col min="50" max="50" width="10" bestFit="1" customWidth="1"/>
    <col min="51" max="53" width="10.140625" bestFit="1" customWidth="1"/>
    <col min="54" max="54" width="10" bestFit="1" customWidth="1"/>
    <col min="55" max="55" width="10.42578125" bestFit="1" customWidth="1"/>
    <col min="56" max="56" width="10" bestFit="1" customWidth="1"/>
    <col min="57" max="59" width="10.140625" bestFit="1" customWidth="1"/>
    <col min="60" max="60" width="10" bestFit="1" customWidth="1"/>
    <col min="61" max="61" width="10.42578125" bestFit="1" customWidth="1"/>
    <col min="62" max="64" width="10" bestFit="1" customWidth="1"/>
    <col min="65" max="65" width="10.28515625" bestFit="1" customWidth="1"/>
    <col min="67" max="74" width="10" bestFit="1" customWidth="1"/>
    <col min="75" max="75" width="10.28515625" bestFit="1" customWidth="1"/>
    <col min="77" max="80" width="10" bestFit="1" customWidth="1"/>
    <col min="81" max="81" width="10.28515625" bestFit="1" customWidth="1"/>
    <col min="83" max="86" width="10" bestFit="1" customWidth="1"/>
    <col min="87" max="87" width="10.28515625" bestFit="1" customWidth="1"/>
    <col min="89" max="92" width="10" bestFit="1" customWidth="1"/>
    <col min="93" max="93" width="10.28515625" bestFit="1" customWidth="1"/>
    <col min="95" max="102" width="10" bestFit="1" customWidth="1"/>
    <col min="103" max="103" width="10.28515625" bestFit="1" customWidth="1"/>
    <col min="105" max="108" width="10" bestFit="1" customWidth="1"/>
    <col min="109" max="109" width="10.28515625" bestFit="1" customWidth="1"/>
    <col min="111" max="114" width="10" bestFit="1" customWidth="1"/>
    <col min="115" max="115" width="10.28515625" bestFit="1" customWidth="1"/>
    <col min="117" max="120" width="10" bestFit="1" customWidth="1"/>
    <col min="121" max="121" width="10.28515625" bestFit="1" customWidth="1"/>
  </cols>
  <sheetData>
    <row r="1" spans="2:121" hidden="1" x14ac:dyDescent="0.25">
      <c r="C1" s="8" t="s">
        <v>126</v>
      </c>
    </row>
    <row r="2" spans="2:121" ht="20.25" customHeight="1" x14ac:dyDescent="0.25">
      <c r="C2" s="1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10"/>
      <c r="W2" s="10"/>
      <c r="X2" s="10"/>
      <c r="Y2" s="10"/>
      <c r="Z2" s="10"/>
      <c r="AA2" s="11"/>
    </row>
    <row r="3" spans="2:121" ht="15" customHeight="1" x14ac:dyDescent="0.25"/>
    <row r="4" spans="2:121" ht="30.75" customHeight="1" outlineLevel="1" x14ac:dyDescent="0.25">
      <c r="C4" s="9" t="s">
        <v>0</v>
      </c>
      <c r="E4" s="3" t="s">
        <v>98</v>
      </c>
      <c r="F4" s="2"/>
      <c r="G4" s="2"/>
      <c r="H4" s="2"/>
      <c r="I4" s="2"/>
      <c r="J4" s="2"/>
      <c r="K4" s="2"/>
      <c r="L4" s="2"/>
      <c r="M4" s="2"/>
      <c r="N4" s="2"/>
      <c r="O4" s="2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2:121" ht="2.25" customHeight="1" outlineLevel="1" x14ac:dyDescent="0.25"/>
    <row r="6" spans="2:121" ht="31.5" customHeight="1" outlineLevel="1" x14ac:dyDescent="0.25">
      <c r="C6" s="9" t="s">
        <v>1</v>
      </c>
      <c r="E6" s="3" t="s">
        <v>100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2:121" ht="2.25" customHeight="1" outlineLevel="1" x14ac:dyDescent="0.25">
      <c r="G7" s="6"/>
      <c r="H7" s="7"/>
      <c r="I7" s="7"/>
      <c r="J7" s="7"/>
      <c r="K7" s="7"/>
      <c r="L7" s="7"/>
      <c r="M7" s="7"/>
    </row>
    <row r="8" spans="2:121" ht="30.75" customHeight="1" outlineLevel="1" x14ac:dyDescent="0.25">
      <c r="C8" s="9" t="s">
        <v>8</v>
      </c>
      <c r="E8" s="3" t="s">
        <v>99</v>
      </c>
      <c r="F8" s="3"/>
      <c r="G8" s="3"/>
      <c r="H8" s="3"/>
      <c r="I8" s="3"/>
      <c r="J8" s="3"/>
      <c r="K8" s="3"/>
      <c r="L8" s="3"/>
      <c r="M8" s="3"/>
      <c r="N8" s="3"/>
      <c r="O8" s="3"/>
    </row>
    <row r="9" spans="2:121" x14ac:dyDescent="0.25">
      <c r="C9" s="12" t="s">
        <v>125</v>
      </c>
    </row>
    <row r="10" spans="2:121" x14ac:dyDescent="0.25">
      <c r="B10" s="8"/>
      <c r="C10" s="8"/>
      <c r="D10" s="14" t="s">
        <v>106</v>
      </c>
      <c r="E10" s="19" t="s">
        <v>104</v>
      </c>
      <c r="F10" s="19" t="s">
        <v>104</v>
      </c>
      <c r="G10" s="19" t="s">
        <v>104</v>
      </c>
      <c r="H10" s="19" t="s">
        <v>104</v>
      </c>
      <c r="I10" s="19" t="s">
        <v>113</v>
      </c>
      <c r="J10" s="14" t="s">
        <v>106</v>
      </c>
      <c r="K10" s="19" t="s">
        <v>106</v>
      </c>
      <c r="L10" s="19" t="s">
        <v>106</v>
      </c>
      <c r="M10" s="19" t="s">
        <v>106</v>
      </c>
      <c r="N10" s="19" t="s">
        <v>106</v>
      </c>
      <c r="O10" s="19" t="s">
        <v>113</v>
      </c>
      <c r="P10" s="14" t="s">
        <v>106</v>
      </c>
      <c r="Q10" s="19" t="s">
        <v>106</v>
      </c>
      <c r="R10" s="19" t="s">
        <v>106</v>
      </c>
      <c r="S10" s="19" t="s">
        <v>106</v>
      </c>
      <c r="T10" s="19" t="s">
        <v>106</v>
      </c>
      <c r="U10" s="19" t="s">
        <v>113</v>
      </c>
      <c r="V10" s="14" t="s">
        <v>106</v>
      </c>
      <c r="W10" s="19" t="s">
        <v>116</v>
      </c>
      <c r="X10" s="19" t="s">
        <v>116</v>
      </c>
      <c r="Y10" s="19" t="s">
        <v>116</v>
      </c>
      <c r="Z10" s="19" t="s">
        <v>116</v>
      </c>
      <c r="AA10" s="19" t="s">
        <v>108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</row>
    <row r="11" spans="2:121" x14ac:dyDescent="0.25">
      <c r="B11" s="8"/>
      <c r="C11" s="8"/>
      <c r="D11" s="14" t="s">
        <v>114</v>
      </c>
      <c r="E11" s="19" t="s">
        <v>119</v>
      </c>
      <c r="F11" s="19" t="s">
        <v>124</v>
      </c>
      <c r="G11" s="19" t="s">
        <v>122</v>
      </c>
      <c r="H11" s="19" t="s">
        <v>109</v>
      </c>
      <c r="I11" s="19" t="s">
        <v>105</v>
      </c>
      <c r="J11" s="14" t="s">
        <v>114</v>
      </c>
      <c r="K11" s="19" t="s">
        <v>111</v>
      </c>
      <c r="L11" s="19" t="s">
        <v>117</v>
      </c>
      <c r="M11" s="19" t="s">
        <v>123</v>
      </c>
      <c r="N11" s="19" t="s">
        <v>121</v>
      </c>
      <c r="O11" s="19" t="s">
        <v>120</v>
      </c>
      <c r="P11" s="14" t="s">
        <v>114</v>
      </c>
      <c r="Q11" s="19" t="s">
        <v>115</v>
      </c>
      <c r="R11" s="19" t="s">
        <v>112</v>
      </c>
      <c r="S11" s="19" t="s">
        <v>110</v>
      </c>
      <c r="T11" s="19" t="s">
        <v>107</v>
      </c>
      <c r="U11" s="19" t="s">
        <v>118</v>
      </c>
      <c r="V11" s="14" t="s">
        <v>114</v>
      </c>
      <c r="W11" s="19" t="s">
        <v>111</v>
      </c>
      <c r="X11" s="19" t="s">
        <v>117</v>
      </c>
      <c r="Y11" s="19" t="s">
        <v>123</v>
      </c>
      <c r="Z11" s="19" t="s">
        <v>121</v>
      </c>
      <c r="AA11" s="19" t="s">
        <v>120</v>
      </c>
      <c r="AB11" s="5"/>
      <c r="AC11" s="5"/>
      <c r="AD11" s="5"/>
      <c r="AE11" s="5"/>
      <c r="AF11" s="5"/>
      <c r="AG11" s="5"/>
      <c r="AH11" s="5"/>
      <c r="AI11" s="5"/>
      <c r="AJ11" s="5"/>
      <c r="AK11" s="4"/>
      <c r="AL11" s="5"/>
      <c r="AM11" s="5"/>
      <c r="AN11" s="5"/>
      <c r="AO11" s="4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</row>
    <row r="12" spans="2:121" hidden="1" x14ac:dyDescent="0.25">
      <c r="B12" s="8" t="s">
        <v>101</v>
      </c>
      <c r="C12" s="8"/>
      <c r="D12" s="30">
        <f>1</f>
        <v>1</v>
      </c>
      <c r="E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F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G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H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I12" s="24">
        <f t="shared" ref="I12:I28" ca="1" si="0">IFERROR(IF(INDIRECT(ADDRESS(ROW(),COLUMN()-7))="SA_0001",INDIRECT(ADDRESS(ROW()-7,COLUMN()))/INDIRECT(ADDRESS(ROW()-35,COLUMN())),SUM(E12:H12)),0)</f>
        <v>0</v>
      </c>
      <c r="J12" s="30">
        <f>1</f>
        <v>1</v>
      </c>
      <c r="K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L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M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N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O12" s="24">
        <f t="shared" ref="O12:O28" ca="1" si="1">IFERROR(IF(INDIRECT(ADDRESS(ROW(),COLUMN()-13))="SA_0001",INDIRECT(ADDRESS(ROW()-7,COLUMN()))/INDIRECT(ADDRESS(ROW()-35,COLUMN())),SUM(K12:N12)),0)</f>
        <v>4</v>
      </c>
      <c r="P12" s="30">
        <f>1</f>
        <v>1</v>
      </c>
      <c r="Q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R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S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T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U12" s="24">
        <f t="shared" ref="U12:U28" ca="1" si="2">IFERROR(IF(INDIRECT(ADDRESS(ROW(),COLUMN()-19))="SA_0001",INDIRECT(ADDRESS(ROW()-7,COLUMN()))/INDIRECT(ADDRESS(ROW()-35,COLUMN())),SUM(Q12:T12)),0)</f>
        <v>0</v>
      </c>
      <c r="V12" s="30">
        <f>1</f>
        <v>1</v>
      </c>
      <c r="W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X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Y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Z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AA12" s="24">
        <f t="shared" ref="AA12:AA28" ca="1" si="3">IFERROR(IF(INDIRECT(ADDRESS(ROW(),COLUMN()-25))="SA_0001",INDIRECT(ADDRESS(ROW()-7,COLUMN()))/INDIRECT(ADDRESS(ROW()-35,COLUMN())),SUM(W12:Z12)),0)</f>
        <v>0</v>
      </c>
      <c r="AB12" s="5"/>
      <c r="AC12" s="5"/>
      <c r="AD12" s="5"/>
      <c r="AE12" s="5"/>
      <c r="AF12" s="5"/>
      <c r="AG12" s="5"/>
      <c r="AH12" s="5"/>
      <c r="AI12" s="5"/>
      <c r="AJ12" s="5"/>
      <c r="AK12" s="4"/>
      <c r="AL12" s="5"/>
      <c r="AM12" s="5"/>
      <c r="AN12" s="5"/>
      <c r="AO12" s="4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</row>
    <row r="13" spans="2:121" hidden="1" x14ac:dyDescent="0.25">
      <c r="B13" s="8" t="s">
        <v>101</v>
      </c>
      <c r="C13" s="8"/>
      <c r="D13" s="30">
        <f>1</f>
        <v>1</v>
      </c>
      <c r="E13">
        <f>IF(E12=1,IF(COUNTIFS(E16:E20,"&lt;0")=1,1,IF(COUNTIFS(E16:E20,"&lt;0")=2,1,IF(COUNTIFS(E16:E20,"&lt;0")=3,1,IF(COUNTIFS(E16:E20,"&lt;0")=4,1,IF(COUNTIFS(E16:E20,"&lt;0")=5,1,IF(COUNTIFS(E16:E20,"&lt;0")=6,1,0)))))),0)</f>
        <v>0</v>
      </c>
      <c r="F13">
        <f>IF(F12=1,IF(COUNTIFS(F16:F20,"&lt;0")=1,1,IF(COUNTIFS(F16:F20,"&lt;0")=2,1,IF(COUNTIFS(F16:F20,"&lt;0")=3,1,IF(COUNTIFS(F16:F20,"&lt;0")=4,1,IF(COUNTIFS(F16:F20,"&lt;0")=5,1,IF(COUNTIFS(F16:F20,"&lt;0")=6,1,0)))))),0)</f>
        <v>0</v>
      </c>
      <c r="G13">
        <f>IF(G12=1,IF(COUNTIFS(G16:G20,"&lt;0")=1,1,IF(COUNTIFS(G16:G20,"&lt;0")=2,1,IF(COUNTIFS(G16:G20,"&lt;0")=3,1,IF(COUNTIFS(G16:G20,"&lt;0")=4,1,IF(COUNTIFS(G16:G20,"&lt;0")=5,1,IF(COUNTIFS(G16:G20,"&lt;0")=6,1,0)))))),0)</f>
        <v>0</v>
      </c>
      <c r="H13">
        <f>IF(H12=1,IF(COUNTIFS(H16:H20,"&lt;0")=1,1,IF(COUNTIFS(H16:H20,"&lt;0")=2,1,IF(COUNTIFS(H16:H20,"&lt;0")=3,1,IF(COUNTIFS(H16:H20,"&lt;0")=4,1,IF(COUNTIFS(H16:H20,"&lt;0")=5,1,IF(COUNTIFS(H16:H20,"&lt;0")=6,1,0)))))),0)</f>
        <v>0</v>
      </c>
      <c r="I13" s="24">
        <f t="shared" ca="1" si="0"/>
        <v>0</v>
      </c>
      <c r="J13" s="30">
        <f>1</f>
        <v>1</v>
      </c>
      <c r="K13">
        <f>IF(K12=1,IF(COUNTIFS(K16:K20,"&lt;0")=1,1,IF(COUNTIFS(K16:K20,"&lt;0")=2,1,IF(COUNTIFS(K16:K20,"&lt;0")=3,1,IF(COUNTIFS(K16:K20,"&lt;0")=4,1,IF(COUNTIFS(K16:K20,"&lt;0")=5,1,IF(COUNTIFS(K16:K20,"&lt;0")=6,1,0)))))),0)</f>
        <v>0</v>
      </c>
      <c r="L13">
        <f>IF(L12=1,IF(COUNTIFS(L16:L20,"&lt;0")=1,1,IF(COUNTIFS(L16:L20,"&lt;0")=2,1,IF(COUNTIFS(L16:L20,"&lt;0")=3,1,IF(COUNTIFS(L16:L20,"&lt;0")=4,1,IF(COUNTIFS(L16:L20,"&lt;0")=5,1,IF(COUNTIFS(L16:L20,"&lt;0")=6,1,0)))))),0)</f>
        <v>0</v>
      </c>
      <c r="M13">
        <f>IF(M12=1,IF(COUNTIFS(M16:M20,"&lt;0")=1,1,IF(COUNTIFS(M16:M20,"&lt;0")=2,1,IF(COUNTIFS(M16:M20,"&lt;0")=3,1,IF(COUNTIFS(M16:M20,"&lt;0")=4,1,IF(COUNTIFS(M16:M20,"&lt;0")=5,1,IF(COUNTIFS(M16:M20,"&lt;0")=6,1,0)))))),0)</f>
        <v>0</v>
      </c>
      <c r="N13">
        <f>IF(N12=1,IF(COUNTIFS(N16:N20,"&lt;0")=1,1,IF(COUNTIFS(N16:N20,"&lt;0")=2,1,IF(COUNTIFS(N16:N20,"&lt;0")=3,1,IF(COUNTIFS(N16:N20,"&lt;0")=4,1,IF(COUNTIFS(N16:N20,"&lt;0")=5,1,IF(COUNTIFS(N16:N20,"&lt;0")=6,1,0)))))),0)</f>
        <v>0</v>
      </c>
      <c r="O13" s="24">
        <f t="shared" ca="1" si="1"/>
        <v>0</v>
      </c>
      <c r="P13" s="30">
        <f>1</f>
        <v>1</v>
      </c>
      <c r="Q13">
        <f>IF(Q12=1,IF(COUNTIFS(Q16:Q20,"&lt;0")=1,1,IF(COUNTIFS(Q16:Q20,"&lt;0")=2,1,IF(COUNTIFS(Q16:Q20,"&lt;0")=3,1,IF(COUNTIFS(Q16:Q20,"&lt;0")=4,1,IF(COUNTIFS(Q16:Q20,"&lt;0")=5,1,IF(COUNTIFS(Q16:Q20,"&lt;0")=6,1,0)))))),0)</f>
        <v>0</v>
      </c>
      <c r="R13">
        <f>IF(R12=1,IF(COUNTIFS(R16:R20,"&lt;0")=1,1,IF(COUNTIFS(R16:R20,"&lt;0")=2,1,IF(COUNTIFS(R16:R20,"&lt;0")=3,1,IF(COUNTIFS(R16:R20,"&lt;0")=4,1,IF(COUNTIFS(R16:R20,"&lt;0")=5,1,IF(COUNTIFS(R16:R20,"&lt;0")=6,1,0)))))),0)</f>
        <v>0</v>
      </c>
      <c r="S13">
        <f>IF(S12=1,IF(COUNTIFS(S16:S20,"&lt;0")=1,1,IF(COUNTIFS(S16:S20,"&lt;0")=2,1,IF(COUNTIFS(S16:S20,"&lt;0")=3,1,IF(COUNTIFS(S16:S20,"&lt;0")=4,1,IF(COUNTIFS(S16:S20,"&lt;0")=5,1,IF(COUNTIFS(S16:S20,"&lt;0")=6,1,0)))))),0)</f>
        <v>0</v>
      </c>
      <c r="T13">
        <f>IF(T12=1,IF(COUNTIFS(T16:T20,"&lt;0")=1,1,IF(COUNTIFS(T16:T20,"&lt;0")=2,1,IF(COUNTIFS(T16:T20,"&lt;0")=3,1,IF(COUNTIFS(T16:T20,"&lt;0")=4,1,IF(COUNTIFS(T16:T20,"&lt;0")=5,1,IF(COUNTIFS(T16:T20,"&lt;0")=6,1,0)))))),0)</f>
        <v>0</v>
      </c>
      <c r="U13" s="24">
        <f t="shared" ca="1" si="2"/>
        <v>0</v>
      </c>
      <c r="V13" s="30">
        <f>1</f>
        <v>1</v>
      </c>
      <c r="W13">
        <f>IF(W12=1,IF(COUNTIFS(W16:W20,"&lt;0")=1,1,IF(COUNTIFS(W16:W20,"&lt;0")=2,1,IF(COUNTIFS(W16:W20,"&lt;0")=3,1,IF(COUNTIFS(W16:W20,"&lt;0")=4,1,IF(COUNTIFS(W16:W20,"&lt;0")=5,1,IF(COUNTIFS(W16:W20,"&lt;0")=6,1,0)))))),0)</f>
        <v>0</v>
      </c>
      <c r="X13">
        <f>IF(X12=1,IF(COUNTIFS(X16:X20,"&lt;0")=1,1,IF(COUNTIFS(X16:X20,"&lt;0")=2,1,IF(COUNTIFS(X16:X20,"&lt;0")=3,1,IF(COUNTIFS(X16:X20,"&lt;0")=4,1,IF(COUNTIFS(X16:X20,"&lt;0")=5,1,IF(COUNTIFS(X16:X20,"&lt;0")=6,1,0)))))),0)</f>
        <v>0</v>
      </c>
      <c r="Y13">
        <f>IF(Y12=1,IF(COUNTIFS(Y16:Y20,"&lt;0")=1,1,IF(COUNTIFS(Y16:Y20,"&lt;0")=2,1,IF(COUNTIFS(Y16:Y20,"&lt;0")=3,1,IF(COUNTIFS(Y16:Y20,"&lt;0")=4,1,IF(COUNTIFS(Y16:Y20,"&lt;0")=5,1,IF(COUNTIFS(Y16:Y20,"&lt;0")=6,1,0)))))),0)</f>
        <v>0</v>
      </c>
      <c r="Z13">
        <f>IF(Z12=1,IF(COUNTIFS(Z16:Z20,"&lt;0")=1,1,IF(COUNTIFS(Z16:Z20,"&lt;0")=2,1,IF(COUNTIFS(Z16:Z20,"&lt;0")=3,1,IF(COUNTIFS(Z16:Z20,"&lt;0")=4,1,IF(COUNTIFS(Z16:Z20,"&lt;0")=5,1,IF(COUNTIFS(Z16:Z20,"&lt;0")=6,1,0)))))),0)</f>
        <v>0</v>
      </c>
      <c r="AA13" s="24">
        <f t="shared" ca="1" si="3"/>
        <v>0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</row>
    <row r="14" spans="2:121" hidden="1" x14ac:dyDescent="0.25">
      <c r="B14" s="8" t="s">
        <v>101</v>
      </c>
      <c r="C14" s="8"/>
      <c r="D14" s="30">
        <f>1</f>
        <v>1</v>
      </c>
      <c r="E14">
        <f>IF(E12=1,IF(COUNTIFS(E30:E34,"=0")=1,1,IF(COUNTIFS(E30:E34,"=0")=2,1,IF(COUNTIFS(E30:E34,"=0")=3,1,IF(COUNTIFS(E30:E34,"=0")=4,1,IF(COUNTIFS(E30:E34,"&gt;0")=5,1,IF(COUNTIFS(E30:E34,"=0")=6,1,0)))))),0)</f>
        <v>0</v>
      </c>
      <c r="F14">
        <f>IF(F12=1,IF(COUNTIFS(F30:F34,"=0")=1,1,IF(COUNTIFS(F30:F34,"=0")=2,1,IF(COUNTIFS(F30:F34,"=0")=3,1,IF(COUNTIFS(F30:F34,"=0")=4,1,IF(COUNTIFS(F30:F34,"&gt;0")=5,1,IF(COUNTIFS(F30:F34,"=0")=6,1,0)))))),0)</f>
        <v>0</v>
      </c>
      <c r="G14">
        <f>IF(G12=1,IF(COUNTIFS(G30:G34,"=0")=1,1,IF(COUNTIFS(G30:G34,"=0")=2,1,IF(COUNTIFS(G30:G34,"=0")=3,1,IF(COUNTIFS(G30:G34,"=0")=4,1,IF(COUNTIFS(G30:G34,"&gt;0")=5,1,IF(COUNTIFS(G30:G34,"=0")=6,1,0)))))),0)</f>
        <v>0</v>
      </c>
      <c r="H14">
        <f>IF(H12=1,IF(COUNTIFS(H30:H34,"=0")=1,1,IF(COUNTIFS(H30:H34,"=0")=2,1,IF(COUNTIFS(H30:H34,"=0")=3,1,IF(COUNTIFS(H30:H34,"=0")=4,1,IF(COUNTIFS(H30:H34,"&gt;0")=5,1,IF(COUNTIFS(H30:H34,"=0")=6,1,0)))))),0)</f>
        <v>0</v>
      </c>
      <c r="I14" s="24">
        <f t="shared" ca="1" si="0"/>
        <v>0</v>
      </c>
      <c r="J14" s="30">
        <f>1</f>
        <v>1</v>
      </c>
      <c r="K14">
        <f>IF(K12=1,IF(COUNTIFS(K30:K34,"=0")=1,1,IF(COUNTIFS(K30:K34,"=0")=2,1,IF(COUNTIFS(K30:K34,"=0")=3,1,IF(COUNTIFS(K30:K34,"=0")=4,1,IF(COUNTIFS(K30:K34,"&gt;0")=5,1,IF(COUNTIFS(K30:K34,"=0")=6,1,0)))))),0)</f>
        <v>0</v>
      </c>
      <c r="L14">
        <f>IF(L12=1,IF(COUNTIFS(L30:L34,"=0")=1,1,IF(COUNTIFS(L30:L34,"=0")=2,1,IF(COUNTIFS(L30:L34,"=0")=3,1,IF(COUNTIFS(L30:L34,"=0")=4,1,IF(COUNTIFS(L30:L34,"&gt;0")=5,1,IF(COUNTIFS(L30:L34,"=0")=6,1,0)))))),0)</f>
        <v>0</v>
      </c>
      <c r="M14">
        <f>IF(M12=1,IF(COUNTIFS(M30:M34,"=0")=1,1,IF(COUNTIFS(M30:M34,"=0")=2,1,IF(COUNTIFS(M30:M34,"=0")=3,1,IF(COUNTIFS(M30:M34,"=0")=4,1,IF(COUNTIFS(M30:M34,"&gt;0")=5,1,IF(COUNTIFS(M30:M34,"=0")=6,1,0)))))),0)</f>
        <v>0</v>
      </c>
      <c r="N14">
        <f>IF(N12=1,IF(COUNTIFS(N30:N34,"=0")=1,1,IF(COUNTIFS(N30:N34,"=0")=2,1,IF(COUNTIFS(N30:N34,"=0")=3,1,IF(COUNTIFS(N30:N34,"=0")=4,1,IF(COUNTIFS(N30:N34,"&gt;0")=5,1,IF(COUNTIFS(N30:N34,"=0")=6,1,0)))))),0)</f>
        <v>0</v>
      </c>
      <c r="O14" s="24">
        <f t="shared" ca="1" si="1"/>
        <v>0</v>
      </c>
      <c r="P14" s="30">
        <f>1</f>
        <v>1</v>
      </c>
      <c r="Q14">
        <f>IF(Q12=1,IF(COUNTIFS(Q30:Q34,"=0")=1,1,IF(COUNTIFS(Q30:Q34,"=0")=2,1,IF(COUNTIFS(Q30:Q34,"=0")=3,1,IF(COUNTIFS(Q30:Q34,"=0")=4,1,IF(COUNTIFS(Q30:Q34,"&gt;0")=5,1,IF(COUNTIFS(Q30:Q34,"=0")=6,1,0)))))),0)</f>
        <v>0</v>
      </c>
      <c r="R14">
        <f>IF(R12=1,IF(COUNTIFS(R30:R34,"=0")=1,1,IF(COUNTIFS(R30:R34,"=0")=2,1,IF(COUNTIFS(R30:R34,"=0")=3,1,IF(COUNTIFS(R30:R34,"=0")=4,1,IF(COUNTIFS(R30:R34,"&gt;0")=5,1,IF(COUNTIFS(R30:R34,"=0")=6,1,0)))))),0)</f>
        <v>0</v>
      </c>
      <c r="S14">
        <f>IF(S12=1,IF(COUNTIFS(S30:S34,"=0")=1,1,IF(COUNTIFS(S30:S34,"=0")=2,1,IF(COUNTIFS(S30:S34,"=0")=3,1,IF(COUNTIFS(S30:S34,"=0")=4,1,IF(COUNTIFS(S30:S34,"&gt;0")=5,1,IF(COUNTIFS(S30:S34,"=0")=6,1,0)))))),0)</f>
        <v>0</v>
      </c>
      <c r="T14">
        <f>IF(T12=1,IF(COUNTIFS(T30:T34,"=0")=1,1,IF(COUNTIFS(T30:T34,"=0")=2,1,IF(COUNTIFS(T30:T34,"=0")=3,1,IF(COUNTIFS(T30:T34,"=0")=4,1,IF(COUNTIFS(T30:T34,"&gt;0")=5,1,IF(COUNTIFS(T30:T34,"=0")=6,1,0)))))),0)</f>
        <v>0</v>
      </c>
      <c r="U14" s="24">
        <f t="shared" ca="1" si="2"/>
        <v>0</v>
      </c>
      <c r="V14" s="30">
        <f>1</f>
        <v>1</v>
      </c>
      <c r="W14">
        <f>IF(W12=1,IF(COUNTIFS(W30:W34,"=0")=1,1,IF(COUNTIFS(W30:W34,"=0")=2,1,IF(COUNTIFS(W30:W34,"=0")=3,1,IF(COUNTIFS(W30:W34,"=0")=4,1,IF(COUNTIFS(W30:W34,"&gt;0")=5,1,IF(COUNTIFS(W30:W34,"=0")=6,1,0)))))),0)</f>
        <v>0</v>
      </c>
      <c r="X14">
        <f>IF(X12=1,IF(COUNTIFS(X30:X34,"=0")=1,1,IF(COUNTIFS(X30:X34,"=0")=2,1,IF(COUNTIFS(X30:X34,"=0")=3,1,IF(COUNTIFS(X30:X34,"=0")=4,1,IF(COUNTIFS(X30:X34,"&gt;0")=5,1,IF(COUNTIFS(X30:X34,"=0")=6,1,0)))))),0)</f>
        <v>0</v>
      </c>
      <c r="Y14">
        <f>IF(Y12=1,IF(COUNTIFS(Y30:Y34,"=0")=1,1,IF(COUNTIFS(Y30:Y34,"=0")=2,1,IF(COUNTIFS(Y30:Y34,"=0")=3,1,IF(COUNTIFS(Y30:Y34,"=0")=4,1,IF(COUNTIFS(Y30:Y34,"&gt;0")=5,1,IF(COUNTIFS(Y30:Y34,"=0")=6,1,0)))))),0)</f>
        <v>0</v>
      </c>
      <c r="Z14">
        <f>IF(Z12=1,IF(COUNTIFS(Z30:Z34,"=0")=1,1,IF(COUNTIFS(Z30:Z34,"=0")=2,1,IF(COUNTIFS(Z30:Z34,"=0")=3,1,IF(COUNTIFS(Z30:Z34,"=0")=4,1,IF(COUNTIFS(Z30:Z34,"&gt;0")=5,1,IF(COUNTIFS(Z30:Z34,"=0")=6,1,0)))))),0)</f>
        <v>0</v>
      </c>
      <c r="AA14" s="24">
        <f t="shared" ca="1" si="3"/>
        <v>0</v>
      </c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</row>
    <row r="15" spans="2:121" x14ac:dyDescent="0.25">
      <c r="B15" s="18" t="s">
        <v>101</v>
      </c>
      <c r="C15" s="18"/>
      <c r="D15" s="32">
        <f>1</f>
        <v>1</v>
      </c>
      <c r="E15" s="17">
        <f>SUM(E16:E21)</f>
        <v>0</v>
      </c>
      <c r="F15" s="17">
        <f>SUM(F16:F21)</f>
        <v>0</v>
      </c>
      <c r="G15" s="17">
        <f>SUM(G16:G21)</f>
        <v>0</v>
      </c>
      <c r="H15" s="17">
        <f>SUM(H16:H21)</f>
        <v>0</v>
      </c>
      <c r="I15" s="33">
        <f t="shared" ca="1" si="0"/>
        <v>0</v>
      </c>
      <c r="J15" s="32">
        <f>1</f>
        <v>1</v>
      </c>
      <c r="K15" s="17">
        <f>SUM(K16:K21)</f>
        <v>0</v>
      </c>
      <c r="L15" s="17">
        <f>SUM(L16:L21)</f>
        <v>0</v>
      </c>
      <c r="M15" s="17">
        <f>SUM(M16:M21)</f>
        <v>0</v>
      </c>
      <c r="N15" s="17">
        <f>SUM(N16:N21)</f>
        <v>0</v>
      </c>
      <c r="O15" s="33">
        <f t="shared" ca="1" si="1"/>
        <v>0</v>
      </c>
      <c r="P15" s="32">
        <f>1</f>
        <v>1</v>
      </c>
      <c r="Q15" s="17">
        <f>SUM(Q16:Q21)</f>
        <v>0</v>
      </c>
      <c r="R15" s="17">
        <f>SUM(R16:R21)</f>
        <v>0</v>
      </c>
      <c r="S15" s="17">
        <f>SUM(S16:S21)</f>
        <v>0</v>
      </c>
      <c r="T15" s="17">
        <f>SUM(T16:T21)</f>
        <v>0</v>
      </c>
      <c r="U15" s="33">
        <f t="shared" ca="1" si="2"/>
        <v>0</v>
      </c>
      <c r="V15" s="32">
        <f>1</f>
        <v>1</v>
      </c>
      <c r="W15" s="17">
        <f>SUM(W16:W21)</f>
        <v>2</v>
      </c>
      <c r="X15" s="17">
        <f>SUM(X16:X21)</f>
        <v>1</v>
      </c>
      <c r="Y15" s="17">
        <f>SUM(Y16:Y21)</f>
        <v>0</v>
      </c>
      <c r="Z15" s="17">
        <f>SUM(Z16:Z21)</f>
        <v>0</v>
      </c>
      <c r="AA15" s="33">
        <f t="shared" ca="1" si="3"/>
        <v>3</v>
      </c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</row>
    <row r="16" spans="2:121" x14ac:dyDescent="0.25">
      <c r="B16" s="21" t="s">
        <v>3</v>
      </c>
      <c r="C16" s="21" t="s">
        <v>101</v>
      </c>
      <c r="D16" s="29">
        <f>1</f>
        <v>1</v>
      </c>
      <c r="E16" s="16"/>
      <c r="F16" s="16"/>
      <c r="G16" s="16"/>
      <c r="H16" s="16"/>
      <c r="I16" s="28">
        <f t="shared" ca="1" si="0"/>
        <v>0</v>
      </c>
      <c r="J16" s="29">
        <f>1</f>
        <v>1</v>
      </c>
      <c r="K16" s="16"/>
      <c r="L16" s="16"/>
      <c r="M16" s="16"/>
      <c r="N16" s="16"/>
      <c r="O16" s="28">
        <f t="shared" ca="1" si="1"/>
        <v>0</v>
      </c>
      <c r="P16" s="29">
        <f>1</f>
        <v>1</v>
      </c>
      <c r="Q16" s="16"/>
      <c r="R16" s="16"/>
      <c r="S16" s="16"/>
      <c r="T16" s="16"/>
      <c r="U16" s="28">
        <f t="shared" ca="1" si="2"/>
        <v>0</v>
      </c>
      <c r="V16" s="29">
        <f>1</f>
        <v>1</v>
      </c>
      <c r="W16" s="16"/>
      <c r="X16" s="16"/>
      <c r="Y16" s="16"/>
      <c r="Z16" s="16"/>
      <c r="AA16" s="28">
        <f t="shared" ca="1" si="3"/>
        <v>0</v>
      </c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</row>
    <row r="17" spans="2:121" x14ac:dyDescent="0.25">
      <c r="B17" s="21" t="s">
        <v>3</v>
      </c>
      <c r="C17" s="21" t="s">
        <v>101</v>
      </c>
      <c r="D17" s="29">
        <f>1</f>
        <v>1</v>
      </c>
      <c r="E17" s="16"/>
      <c r="F17" s="16"/>
      <c r="G17" s="16"/>
      <c r="H17" s="16"/>
      <c r="I17" s="28">
        <f t="shared" ca="1" si="0"/>
        <v>0</v>
      </c>
      <c r="J17" s="29">
        <f>1</f>
        <v>1</v>
      </c>
      <c r="K17" s="16"/>
      <c r="L17" s="16"/>
      <c r="M17" s="16"/>
      <c r="N17" s="16"/>
      <c r="O17" s="28">
        <f t="shared" ca="1" si="1"/>
        <v>0</v>
      </c>
      <c r="P17" s="29">
        <f>1</f>
        <v>1</v>
      </c>
      <c r="Q17" s="16"/>
      <c r="R17" s="16"/>
      <c r="S17" s="16"/>
      <c r="T17" s="16"/>
      <c r="U17" s="28">
        <f t="shared" ca="1" si="2"/>
        <v>0</v>
      </c>
      <c r="V17" s="29">
        <f>1</f>
        <v>1</v>
      </c>
      <c r="W17" s="16"/>
      <c r="X17" s="16">
        <v>1</v>
      </c>
      <c r="Y17" s="16">
        <v>0</v>
      </c>
      <c r="Z17" s="16">
        <v>0</v>
      </c>
      <c r="AA17" s="28">
        <f t="shared" ca="1" si="3"/>
        <v>1</v>
      </c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</row>
    <row r="18" spans="2:121" x14ac:dyDescent="0.25">
      <c r="B18" s="21" t="s">
        <v>3</v>
      </c>
      <c r="C18" s="21"/>
      <c r="D18" s="29">
        <f>1</f>
        <v>1</v>
      </c>
      <c r="E18" s="16"/>
      <c r="F18" s="16"/>
      <c r="G18" s="16"/>
      <c r="H18" s="16"/>
      <c r="I18" s="28">
        <f t="shared" ca="1" si="0"/>
        <v>0</v>
      </c>
      <c r="J18" s="29">
        <f>1</f>
        <v>1</v>
      </c>
      <c r="K18" s="16"/>
      <c r="L18" s="16"/>
      <c r="M18" s="16"/>
      <c r="N18" s="16"/>
      <c r="O18" s="28">
        <f t="shared" ca="1" si="1"/>
        <v>0</v>
      </c>
      <c r="P18" s="29">
        <f>1</f>
        <v>1</v>
      </c>
      <c r="Q18" s="16"/>
      <c r="R18" s="16"/>
      <c r="S18" s="16"/>
      <c r="T18" s="16"/>
      <c r="U18" s="28">
        <f t="shared" ca="1" si="2"/>
        <v>0</v>
      </c>
      <c r="V18" s="29">
        <f>1</f>
        <v>1</v>
      </c>
      <c r="W18" s="16">
        <v>1</v>
      </c>
      <c r="X18" s="16">
        <v>0</v>
      </c>
      <c r="Y18" s="16">
        <v>0</v>
      </c>
      <c r="Z18" s="16">
        <v>0</v>
      </c>
      <c r="AA18" s="28">
        <f t="shared" ca="1" si="3"/>
        <v>1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</row>
    <row r="19" spans="2:121" x14ac:dyDescent="0.25">
      <c r="B19" s="21" t="s">
        <v>3</v>
      </c>
      <c r="C19" s="21"/>
      <c r="D19" s="29">
        <f>1</f>
        <v>1</v>
      </c>
      <c r="E19" s="16"/>
      <c r="F19" s="16"/>
      <c r="G19" s="16"/>
      <c r="H19" s="16"/>
      <c r="I19" s="28">
        <f t="shared" ca="1" si="0"/>
        <v>0</v>
      </c>
      <c r="J19" s="29">
        <f>1</f>
        <v>1</v>
      </c>
      <c r="K19" s="16"/>
      <c r="L19" s="16"/>
      <c r="M19" s="16"/>
      <c r="N19" s="16"/>
      <c r="O19" s="28">
        <f t="shared" ca="1" si="1"/>
        <v>0</v>
      </c>
      <c r="P19" s="29">
        <f>1</f>
        <v>1</v>
      </c>
      <c r="Q19" s="16"/>
      <c r="R19" s="16"/>
      <c r="S19" s="16"/>
      <c r="T19" s="16"/>
      <c r="U19" s="28">
        <f t="shared" ca="1" si="2"/>
        <v>0</v>
      </c>
      <c r="V19" s="29">
        <f>1</f>
        <v>1</v>
      </c>
      <c r="W19" s="16">
        <v>1</v>
      </c>
      <c r="X19" s="16">
        <v>0</v>
      </c>
      <c r="Y19" s="16">
        <v>0</v>
      </c>
      <c r="Z19" s="16">
        <v>0</v>
      </c>
      <c r="AA19" s="28">
        <f t="shared" ca="1" si="3"/>
        <v>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</row>
    <row r="20" spans="2:121" x14ac:dyDescent="0.25">
      <c r="B20" s="21" t="s">
        <v>3</v>
      </c>
      <c r="C20" s="21"/>
      <c r="D20" s="29">
        <f>1</f>
        <v>1</v>
      </c>
      <c r="E20" s="16"/>
      <c r="F20" s="16"/>
      <c r="G20" s="16"/>
      <c r="H20" s="16"/>
      <c r="I20" s="28">
        <f t="shared" ca="1" si="0"/>
        <v>0</v>
      </c>
      <c r="J20" s="29">
        <f>1</f>
        <v>1</v>
      </c>
      <c r="K20" s="16"/>
      <c r="L20" s="16"/>
      <c r="M20" s="16"/>
      <c r="N20" s="16"/>
      <c r="O20" s="28">
        <f t="shared" ca="1" si="1"/>
        <v>0</v>
      </c>
      <c r="P20" s="29">
        <f>1</f>
        <v>1</v>
      </c>
      <c r="Q20" s="16"/>
      <c r="R20" s="16"/>
      <c r="S20" s="16"/>
      <c r="T20" s="16"/>
      <c r="U20" s="28">
        <f t="shared" ca="1" si="2"/>
        <v>0</v>
      </c>
      <c r="V20" s="29">
        <f>1</f>
        <v>1</v>
      </c>
      <c r="W20" s="16"/>
      <c r="X20" s="16"/>
      <c r="Y20" s="16"/>
      <c r="Z20" s="16"/>
      <c r="AA20" s="28">
        <f t="shared" ca="1" si="3"/>
        <v>0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</row>
    <row r="21" spans="2:121" x14ac:dyDescent="0.25">
      <c r="B21" s="21" t="s">
        <v>3</v>
      </c>
      <c r="C21" s="21" t="s">
        <v>101</v>
      </c>
      <c r="D21" s="29">
        <f>1</f>
        <v>1</v>
      </c>
      <c r="E21" s="16"/>
      <c r="F21" s="16"/>
      <c r="G21" s="16"/>
      <c r="H21" s="16"/>
      <c r="I21" s="28">
        <f t="shared" ca="1" si="0"/>
        <v>0</v>
      </c>
      <c r="J21" s="29">
        <f>1</f>
        <v>1</v>
      </c>
      <c r="K21" s="16"/>
      <c r="L21" s="16"/>
      <c r="M21" s="16"/>
      <c r="N21" s="16"/>
      <c r="O21" s="28">
        <f t="shared" ca="1" si="1"/>
        <v>0</v>
      </c>
      <c r="P21" s="29">
        <f>1</f>
        <v>1</v>
      </c>
      <c r="Q21" s="16"/>
      <c r="R21" s="16"/>
      <c r="S21" s="16"/>
      <c r="T21" s="16"/>
      <c r="U21" s="28">
        <f t="shared" ca="1" si="2"/>
        <v>0</v>
      </c>
      <c r="V21" s="29">
        <f>1</f>
        <v>1</v>
      </c>
      <c r="W21" s="16"/>
      <c r="X21" s="16"/>
      <c r="Y21" s="16"/>
      <c r="Z21" s="16"/>
      <c r="AA21" s="28">
        <f t="shared" ca="1" si="3"/>
        <v>0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</row>
    <row r="22" spans="2:121" x14ac:dyDescent="0.25">
      <c r="B22" s="18" t="s">
        <v>101</v>
      </c>
      <c r="C22" s="18"/>
      <c r="D22" s="32">
        <f>1</f>
        <v>1</v>
      </c>
      <c r="E22" s="17">
        <f>SUM(E23:E28)</f>
        <v>0</v>
      </c>
      <c r="F22" s="17">
        <f>SUM(F23:F28)</f>
        <v>0</v>
      </c>
      <c r="G22" s="17">
        <f>SUM(G23:G28)</f>
        <v>0</v>
      </c>
      <c r="H22" s="17">
        <f>SUM(H23:H28)</f>
        <v>0</v>
      </c>
      <c r="I22" s="33">
        <f t="shared" ca="1" si="0"/>
        <v>0</v>
      </c>
      <c r="J22" s="32">
        <f>1</f>
        <v>1</v>
      </c>
      <c r="K22" s="17">
        <f>SUM(K23:K28)</f>
        <v>0</v>
      </c>
      <c r="L22" s="17">
        <f>SUM(L23:L28)</f>
        <v>0</v>
      </c>
      <c r="M22" s="17">
        <f>SUM(M23:M28)</f>
        <v>0</v>
      </c>
      <c r="N22" s="17">
        <f>SUM(N23:N28)</f>
        <v>0</v>
      </c>
      <c r="O22" s="33">
        <f t="shared" ca="1" si="1"/>
        <v>0</v>
      </c>
      <c r="P22" s="32">
        <f>1</f>
        <v>1</v>
      </c>
      <c r="Q22" s="17">
        <f>SUM(Q23:Q28)</f>
        <v>0</v>
      </c>
      <c r="R22" s="17">
        <f>SUM(R23:R28)</f>
        <v>0</v>
      </c>
      <c r="S22" s="17">
        <f>SUM(S23:S28)</f>
        <v>0</v>
      </c>
      <c r="T22" s="17">
        <f>SUM(T23:T28)</f>
        <v>0</v>
      </c>
      <c r="U22" s="33">
        <f t="shared" ca="1" si="2"/>
        <v>0</v>
      </c>
      <c r="V22" s="32">
        <f>1</f>
        <v>1</v>
      </c>
      <c r="W22" s="17">
        <f>SUM(W23:W28)</f>
        <v>2</v>
      </c>
      <c r="X22" s="17">
        <f>SUM(X23:X28)</f>
        <v>1</v>
      </c>
      <c r="Y22" s="17">
        <f>SUM(Y23:Y28)</f>
        <v>0</v>
      </c>
      <c r="Z22" s="17">
        <f>SUM(Z23:Z28)</f>
        <v>0</v>
      </c>
      <c r="AA22" s="33">
        <f t="shared" ca="1" si="3"/>
        <v>3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</row>
    <row r="23" spans="2:121" x14ac:dyDescent="0.25">
      <c r="B23" s="21" t="s">
        <v>4</v>
      </c>
      <c r="C23" s="21" t="s">
        <v>101</v>
      </c>
      <c r="D23" s="29">
        <f>1</f>
        <v>1</v>
      </c>
      <c r="E23" s="16">
        <f>IF(E30&lt;0,E30,IF(E51&gt;=0,E51*E16-E16,E37))</f>
        <v>0</v>
      </c>
      <c r="F23" s="16">
        <f>IF(F30&lt;0,F30,IF(F51&gt;=0,F51*F16-F16,F37))</f>
        <v>0</v>
      </c>
      <c r="G23" s="16">
        <f>IF(G30&lt;0,G30,IF(G51&gt;=0,G51*G16-G16,G37))</f>
        <v>0</v>
      </c>
      <c r="H23" s="16">
        <f>IF(H30&lt;0,H30,IF(H51&gt;=0,H51*H16-H16,H37))</f>
        <v>0</v>
      </c>
      <c r="I23" s="28">
        <f t="shared" ca="1" si="0"/>
        <v>0</v>
      </c>
      <c r="J23" s="29">
        <f>1</f>
        <v>1</v>
      </c>
      <c r="K23" s="16">
        <f>IF(K30&lt;0,K30,IF(K51&gt;=0,K51*K16-K16,K37))</f>
        <v>0</v>
      </c>
      <c r="L23" s="16">
        <f>IF(L30&lt;0,L30,IF(L51&gt;=0,L51*L16-L16,L37))</f>
        <v>0</v>
      </c>
      <c r="M23" s="16">
        <f>IF(M30&lt;0,M30,IF(M51&gt;=0,M51*M16-M16,M37))</f>
        <v>0</v>
      </c>
      <c r="N23" s="16">
        <f>IF(N30&lt;0,N30,IF(N51&gt;=0,N51*N16-N16,N37))</f>
        <v>0</v>
      </c>
      <c r="O23" s="28">
        <f t="shared" ca="1" si="1"/>
        <v>0</v>
      </c>
      <c r="P23" s="29">
        <f>1</f>
        <v>1</v>
      </c>
      <c r="Q23" s="16">
        <f>IF(Q30&lt;0,Q30,IF(Q51&gt;=0,Q51*Q16-Q16,Q37))</f>
        <v>0</v>
      </c>
      <c r="R23" s="16">
        <f>IF(R30&lt;0,R30,IF(R51&gt;=0,R51*R16-R16,R37))</f>
        <v>0</v>
      </c>
      <c r="S23" s="16">
        <f>IF(S30&lt;0,S30,IF(S51&gt;=0,S51*S16-S16,S37))</f>
        <v>0</v>
      </c>
      <c r="T23" s="16">
        <f>IF(T30&lt;0,T30,IF(T51&gt;=0,T51*T16-T16,T37))</f>
        <v>0</v>
      </c>
      <c r="U23" s="28">
        <f t="shared" ca="1" si="2"/>
        <v>0</v>
      </c>
      <c r="V23" s="29">
        <f>1</f>
        <v>1</v>
      </c>
      <c r="W23" s="16">
        <f>IF(W30&lt;0,W30,IF(W51&gt;=0,W51*W16-W16,W37))</f>
        <v>0</v>
      </c>
      <c r="X23" s="16">
        <f>IF(X30&lt;0,X30,IF(X51&gt;=0,X51*X16-X16,X37))</f>
        <v>0</v>
      </c>
      <c r="Y23" s="16">
        <f>IF(Y30&lt;0,Y30,IF(Y51&gt;=0,Y51*Y16-Y16,Y37))</f>
        <v>0</v>
      </c>
      <c r="Z23" s="16">
        <f>IF(Z30&lt;0,Z30,IF(Z51&gt;=0,Z51*Z16-Z16,Z37))</f>
        <v>0</v>
      </c>
      <c r="AA23" s="28">
        <f t="shared" ca="1" si="3"/>
        <v>0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</row>
    <row r="24" spans="2:121" x14ac:dyDescent="0.25">
      <c r="B24" s="21" t="s">
        <v>4</v>
      </c>
      <c r="C24" s="21" t="s">
        <v>101</v>
      </c>
      <c r="D24" s="29">
        <f>1</f>
        <v>1</v>
      </c>
      <c r="E24" s="16">
        <f t="shared" ref="E24:H28" si="4">IF(E31&lt;0,E31,IF(E52&gt;0,E52*E17-E17,E38))</f>
        <v>0</v>
      </c>
      <c r="F24" s="16">
        <f t="shared" si="4"/>
        <v>0</v>
      </c>
      <c r="G24" s="16">
        <f t="shared" si="4"/>
        <v>0</v>
      </c>
      <c r="H24" s="16">
        <f t="shared" si="4"/>
        <v>0</v>
      </c>
      <c r="I24" s="28">
        <f t="shared" ca="1" si="0"/>
        <v>0</v>
      </c>
      <c r="J24" s="29">
        <f>1</f>
        <v>1</v>
      </c>
      <c r="K24" s="16">
        <f t="shared" ref="K24:N28" si="5">IF(K31&lt;0,K31,IF(K52&gt;0,K52*K17-K17,K38))</f>
        <v>0</v>
      </c>
      <c r="L24" s="16">
        <f t="shared" si="5"/>
        <v>0</v>
      </c>
      <c r="M24" s="16">
        <f t="shared" si="5"/>
        <v>0</v>
      </c>
      <c r="N24" s="16">
        <f t="shared" si="5"/>
        <v>0</v>
      </c>
      <c r="O24" s="28">
        <f t="shared" ca="1" si="1"/>
        <v>0</v>
      </c>
      <c r="P24" s="29">
        <f>1</f>
        <v>1</v>
      </c>
      <c r="Q24" s="16">
        <f t="shared" ref="Q24:T28" si="6">IF(Q31&lt;0,Q31,IF(Q52&gt;0,Q52*Q17-Q17,Q38))</f>
        <v>0</v>
      </c>
      <c r="R24" s="16">
        <f t="shared" si="6"/>
        <v>0</v>
      </c>
      <c r="S24" s="16">
        <f t="shared" si="6"/>
        <v>0</v>
      </c>
      <c r="T24" s="16">
        <f t="shared" si="6"/>
        <v>0</v>
      </c>
      <c r="U24" s="28">
        <f t="shared" ca="1" si="2"/>
        <v>0</v>
      </c>
      <c r="V24" s="29">
        <f>1</f>
        <v>1</v>
      </c>
      <c r="W24" s="16">
        <f t="shared" ref="W24:Z28" si="7">IF(W31&lt;0,W31,IF(W52&gt;0,W52*W17-W17,W38))</f>
        <v>0</v>
      </c>
      <c r="X24" s="16">
        <f t="shared" si="7"/>
        <v>1</v>
      </c>
      <c r="Y24" s="16">
        <f t="shared" si="7"/>
        <v>0</v>
      </c>
      <c r="Z24" s="16">
        <f t="shared" si="7"/>
        <v>0</v>
      </c>
      <c r="AA24" s="28">
        <f t="shared" ca="1" si="3"/>
        <v>1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</row>
    <row r="25" spans="2:121" x14ac:dyDescent="0.25">
      <c r="B25" s="21" t="s">
        <v>4</v>
      </c>
      <c r="C25" s="21"/>
      <c r="D25" s="29">
        <f>1</f>
        <v>1</v>
      </c>
      <c r="E25" s="16">
        <f t="shared" si="4"/>
        <v>0</v>
      </c>
      <c r="F25" s="16">
        <f t="shared" si="4"/>
        <v>0</v>
      </c>
      <c r="G25" s="16">
        <f t="shared" si="4"/>
        <v>0</v>
      </c>
      <c r="H25" s="16">
        <f t="shared" si="4"/>
        <v>0</v>
      </c>
      <c r="I25" s="28">
        <f t="shared" ca="1" si="0"/>
        <v>0</v>
      </c>
      <c r="J25" s="29">
        <f>1</f>
        <v>1</v>
      </c>
      <c r="K25" s="16">
        <f t="shared" si="5"/>
        <v>0</v>
      </c>
      <c r="L25" s="16">
        <f t="shared" si="5"/>
        <v>0</v>
      </c>
      <c r="M25" s="16">
        <f t="shared" si="5"/>
        <v>0</v>
      </c>
      <c r="N25" s="16">
        <f t="shared" si="5"/>
        <v>0</v>
      </c>
      <c r="O25" s="28">
        <f t="shared" ca="1" si="1"/>
        <v>0</v>
      </c>
      <c r="P25" s="29">
        <f>1</f>
        <v>1</v>
      </c>
      <c r="Q25" s="16">
        <f t="shared" si="6"/>
        <v>0</v>
      </c>
      <c r="R25" s="16">
        <f t="shared" si="6"/>
        <v>0</v>
      </c>
      <c r="S25" s="16">
        <f t="shared" si="6"/>
        <v>0</v>
      </c>
      <c r="T25" s="16">
        <f t="shared" si="6"/>
        <v>0</v>
      </c>
      <c r="U25" s="28">
        <f t="shared" ca="1" si="2"/>
        <v>0</v>
      </c>
      <c r="V25" s="29">
        <f>1</f>
        <v>1</v>
      </c>
      <c r="W25" s="16">
        <f t="shared" si="7"/>
        <v>1</v>
      </c>
      <c r="X25" s="16">
        <f t="shared" si="7"/>
        <v>0</v>
      </c>
      <c r="Y25" s="16">
        <f t="shared" si="7"/>
        <v>0</v>
      </c>
      <c r="Z25" s="16">
        <f t="shared" si="7"/>
        <v>0</v>
      </c>
      <c r="AA25" s="28">
        <f t="shared" ca="1" si="3"/>
        <v>1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</row>
    <row r="26" spans="2:121" x14ac:dyDescent="0.25">
      <c r="B26" s="21" t="s">
        <v>4</v>
      </c>
      <c r="C26" s="21"/>
      <c r="D26" s="29">
        <f>1</f>
        <v>1</v>
      </c>
      <c r="E26" s="16">
        <f t="shared" si="4"/>
        <v>0</v>
      </c>
      <c r="F26" s="16">
        <f t="shared" si="4"/>
        <v>0</v>
      </c>
      <c r="G26" s="16">
        <f t="shared" si="4"/>
        <v>0</v>
      </c>
      <c r="H26" s="16">
        <f t="shared" si="4"/>
        <v>0</v>
      </c>
      <c r="I26" s="28">
        <f t="shared" ca="1" si="0"/>
        <v>0</v>
      </c>
      <c r="J26" s="29">
        <f>1</f>
        <v>1</v>
      </c>
      <c r="K26" s="16">
        <f t="shared" si="5"/>
        <v>0</v>
      </c>
      <c r="L26" s="16">
        <f t="shared" si="5"/>
        <v>0</v>
      </c>
      <c r="M26" s="16">
        <f t="shared" si="5"/>
        <v>0</v>
      </c>
      <c r="N26" s="16">
        <f t="shared" si="5"/>
        <v>0</v>
      </c>
      <c r="O26" s="28">
        <f t="shared" ca="1" si="1"/>
        <v>0</v>
      </c>
      <c r="P26" s="29">
        <f>1</f>
        <v>1</v>
      </c>
      <c r="Q26" s="16">
        <f t="shared" si="6"/>
        <v>0</v>
      </c>
      <c r="R26" s="16">
        <f t="shared" si="6"/>
        <v>0</v>
      </c>
      <c r="S26" s="16">
        <f t="shared" si="6"/>
        <v>0</v>
      </c>
      <c r="T26" s="16">
        <f t="shared" si="6"/>
        <v>0</v>
      </c>
      <c r="U26" s="28">
        <f t="shared" ca="1" si="2"/>
        <v>0</v>
      </c>
      <c r="V26" s="29">
        <f>1</f>
        <v>1</v>
      </c>
      <c r="W26" s="16">
        <f t="shared" si="7"/>
        <v>1</v>
      </c>
      <c r="X26" s="16">
        <f t="shared" si="7"/>
        <v>0</v>
      </c>
      <c r="Y26" s="16">
        <f t="shared" si="7"/>
        <v>0</v>
      </c>
      <c r="Z26" s="16">
        <f t="shared" si="7"/>
        <v>0</v>
      </c>
      <c r="AA26" s="28">
        <f t="shared" ca="1" si="3"/>
        <v>1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</row>
    <row r="27" spans="2:121" x14ac:dyDescent="0.25">
      <c r="B27" s="21" t="s">
        <v>4</v>
      </c>
      <c r="C27" s="21"/>
      <c r="D27" s="29">
        <f>1</f>
        <v>1</v>
      </c>
      <c r="E27" s="16">
        <f t="shared" si="4"/>
        <v>0</v>
      </c>
      <c r="F27" s="16">
        <f t="shared" si="4"/>
        <v>0</v>
      </c>
      <c r="G27" s="16">
        <f t="shared" si="4"/>
        <v>0</v>
      </c>
      <c r="H27" s="16">
        <f t="shared" si="4"/>
        <v>0</v>
      </c>
      <c r="I27" s="28">
        <f t="shared" ca="1" si="0"/>
        <v>0</v>
      </c>
      <c r="J27" s="29">
        <f>1</f>
        <v>1</v>
      </c>
      <c r="K27" s="16">
        <f t="shared" si="5"/>
        <v>0</v>
      </c>
      <c r="L27" s="16">
        <f t="shared" si="5"/>
        <v>0</v>
      </c>
      <c r="M27" s="16">
        <f t="shared" si="5"/>
        <v>0</v>
      </c>
      <c r="N27" s="16">
        <f t="shared" si="5"/>
        <v>0</v>
      </c>
      <c r="O27" s="28">
        <f t="shared" ca="1" si="1"/>
        <v>0</v>
      </c>
      <c r="P27" s="29">
        <f>1</f>
        <v>1</v>
      </c>
      <c r="Q27" s="16">
        <f t="shared" si="6"/>
        <v>0</v>
      </c>
      <c r="R27" s="16">
        <f t="shared" si="6"/>
        <v>0</v>
      </c>
      <c r="S27" s="16">
        <f t="shared" si="6"/>
        <v>0</v>
      </c>
      <c r="T27" s="16">
        <f t="shared" si="6"/>
        <v>0</v>
      </c>
      <c r="U27" s="28">
        <f t="shared" ca="1" si="2"/>
        <v>0</v>
      </c>
      <c r="V27" s="29">
        <f>1</f>
        <v>1</v>
      </c>
      <c r="W27" s="16">
        <f t="shared" si="7"/>
        <v>0</v>
      </c>
      <c r="X27" s="16">
        <f t="shared" si="7"/>
        <v>0</v>
      </c>
      <c r="Y27" s="16">
        <f t="shared" si="7"/>
        <v>0</v>
      </c>
      <c r="Z27" s="16">
        <f t="shared" si="7"/>
        <v>0</v>
      </c>
      <c r="AA27" s="28">
        <f t="shared" ca="1" si="3"/>
        <v>0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</row>
    <row r="28" spans="2:121" x14ac:dyDescent="0.25">
      <c r="B28" s="21" t="s">
        <v>4</v>
      </c>
      <c r="C28" s="21" t="s">
        <v>101</v>
      </c>
      <c r="D28" s="29">
        <f>1</f>
        <v>1</v>
      </c>
      <c r="E28" s="16">
        <f t="shared" si="4"/>
        <v>0</v>
      </c>
      <c r="F28" s="16">
        <f t="shared" si="4"/>
        <v>0</v>
      </c>
      <c r="G28" s="16">
        <f t="shared" si="4"/>
        <v>0</v>
      </c>
      <c r="H28" s="16">
        <f t="shared" si="4"/>
        <v>0</v>
      </c>
      <c r="I28" s="28">
        <f t="shared" ca="1" si="0"/>
        <v>0</v>
      </c>
      <c r="J28" s="29">
        <f>1</f>
        <v>1</v>
      </c>
      <c r="K28" s="16">
        <f t="shared" si="5"/>
        <v>0</v>
      </c>
      <c r="L28" s="16">
        <f t="shared" si="5"/>
        <v>0</v>
      </c>
      <c r="M28" s="16">
        <f t="shared" si="5"/>
        <v>0</v>
      </c>
      <c r="N28" s="16">
        <f t="shared" si="5"/>
        <v>0</v>
      </c>
      <c r="O28" s="28">
        <f t="shared" ca="1" si="1"/>
        <v>0</v>
      </c>
      <c r="P28" s="29">
        <f>1</f>
        <v>1</v>
      </c>
      <c r="Q28" s="16">
        <f t="shared" si="6"/>
        <v>0</v>
      </c>
      <c r="R28" s="16">
        <f t="shared" si="6"/>
        <v>0</v>
      </c>
      <c r="S28" s="16">
        <f t="shared" si="6"/>
        <v>0</v>
      </c>
      <c r="T28" s="16">
        <f t="shared" si="6"/>
        <v>0</v>
      </c>
      <c r="U28" s="28">
        <f t="shared" ca="1" si="2"/>
        <v>0</v>
      </c>
      <c r="V28" s="29">
        <f>1</f>
        <v>1</v>
      </c>
      <c r="W28" s="16">
        <f t="shared" si="7"/>
        <v>0</v>
      </c>
      <c r="X28" s="16">
        <f t="shared" si="7"/>
        <v>0</v>
      </c>
      <c r="Y28" s="16">
        <f t="shared" si="7"/>
        <v>0</v>
      </c>
      <c r="Z28" s="16">
        <f t="shared" si="7"/>
        <v>0</v>
      </c>
      <c r="AA28" s="28">
        <f t="shared" ca="1" si="3"/>
        <v>0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</row>
    <row r="29" spans="2:121" x14ac:dyDescent="0.25">
      <c r="B29" s="20" t="s">
        <v>101</v>
      </c>
      <c r="C29" s="20"/>
      <c r="D29" s="42">
        <f t="shared" ref="D29:AA29" si="8">SUM(D30:D35)</f>
        <v>6</v>
      </c>
      <c r="E29" s="43">
        <f t="shared" si="8"/>
        <v>0</v>
      </c>
      <c r="F29" s="43">
        <f t="shared" si="8"/>
        <v>0</v>
      </c>
      <c r="G29" s="43">
        <f t="shared" si="8"/>
        <v>0</v>
      </c>
      <c r="H29" s="43">
        <f t="shared" si="8"/>
        <v>0</v>
      </c>
      <c r="I29" s="44">
        <f t="shared" ca="1" si="8"/>
        <v>0</v>
      </c>
      <c r="J29" s="45">
        <f t="shared" si="8"/>
        <v>6</v>
      </c>
      <c r="K29" s="43">
        <f t="shared" si="8"/>
        <v>0</v>
      </c>
      <c r="L29" s="43">
        <f t="shared" si="8"/>
        <v>0</v>
      </c>
      <c r="M29" s="43">
        <f t="shared" si="8"/>
        <v>0</v>
      </c>
      <c r="N29" s="43">
        <f t="shared" si="8"/>
        <v>0</v>
      </c>
      <c r="O29" s="44">
        <f t="shared" ca="1" si="8"/>
        <v>0</v>
      </c>
      <c r="P29" s="45">
        <f t="shared" si="8"/>
        <v>6</v>
      </c>
      <c r="Q29" s="43">
        <f t="shared" si="8"/>
        <v>0</v>
      </c>
      <c r="R29" s="43">
        <f t="shared" si="8"/>
        <v>0</v>
      </c>
      <c r="S29" s="43">
        <f t="shared" si="8"/>
        <v>0</v>
      </c>
      <c r="T29" s="43">
        <f t="shared" si="8"/>
        <v>0</v>
      </c>
      <c r="U29" s="44">
        <f t="shared" ca="1" si="8"/>
        <v>0</v>
      </c>
      <c r="V29" s="45">
        <f t="shared" si="8"/>
        <v>6</v>
      </c>
      <c r="W29" s="43">
        <f t="shared" si="8"/>
        <v>0</v>
      </c>
      <c r="X29" s="43">
        <f t="shared" si="8"/>
        <v>0</v>
      </c>
      <c r="Y29" s="43">
        <f t="shared" si="8"/>
        <v>0</v>
      </c>
      <c r="Z29" s="43">
        <f t="shared" si="8"/>
        <v>0</v>
      </c>
      <c r="AA29" s="46">
        <f t="shared" ca="1" si="8"/>
        <v>0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</row>
    <row r="30" spans="2:121" outlineLevel="1" x14ac:dyDescent="0.25">
      <c r="B30" s="21" t="s">
        <v>5</v>
      </c>
      <c r="C30" s="21" t="s">
        <v>101</v>
      </c>
      <c r="D30" s="29">
        <f>1</f>
        <v>1</v>
      </c>
      <c r="E30" s="16"/>
      <c r="F30" s="16"/>
      <c r="G30" s="16"/>
      <c r="H30" s="16"/>
      <c r="I30" s="28">
        <f t="shared" ref="I30:I43" ca="1" si="9">IFERROR(IF(INDIRECT(ADDRESS(ROW(),COLUMN()-7))="SA_0001",INDIRECT(ADDRESS(ROW()-7,COLUMN()))/INDIRECT(ADDRESS(ROW()-35,COLUMN())),SUM(E30:H30)),0)</f>
        <v>0</v>
      </c>
      <c r="J30" s="29">
        <f>1</f>
        <v>1</v>
      </c>
      <c r="K30" s="16"/>
      <c r="L30" s="16"/>
      <c r="M30" s="16"/>
      <c r="N30" s="16"/>
      <c r="O30" s="28">
        <f t="shared" ref="O30:O43" ca="1" si="10">IFERROR(IF(INDIRECT(ADDRESS(ROW(),COLUMN()-13))="SA_0001",INDIRECT(ADDRESS(ROW()-7,COLUMN()))/INDIRECT(ADDRESS(ROW()-35,COLUMN())),SUM(K30:N30)),0)</f>
        <v>0</v>
      </c>
      <c r="P30" s="29">
        <f>1</f>
        <v>1</v>
      </c>
      <c r="Q30" s="16"/>
      <c r="R30" s="16"/>
      <c r="S30" s="16"/>
      <c r="T30" s="16"/>
      <c r="U30" s="28">
        <f t="shared" ref="U30:U43" ca="1" si="11">IFERROR(IF(INDIRECT(ADDRESS(ROW(),COLUMN()-19))="SA_0001",INDIRECT(ADDRESS(ROW()-7,COLUMN()))/INDIRECT(ADDRESS(ROW()-35,COLUMN())),SUM(Q30:T30)),0)</f>
        <v>0</v>
      </c>
      <c r="V30" s="29">
        <f>1</f>
        <v>1</v>
      </c>
      <c r="W30" s="16"/>
      <c r="X30" s="16"/>
      <c r="Y30" s="16"/>
      <c r="Z30" s="16"/>
      <c r="AA30" s="28">
        <f t="shared" ref="AA30:AA43" ca="1" si="12">IFERROR(IF(INDIRECT(ADDRESS(ROW(),COLUMN()-25))="SA_0001",INDIRECT(ADDRESS(ROW()-7,COLUMN()))/INDIRECT(ADDRESS(ROW()-35,COLUMN())),SUM(W30:Z30)),0)</f>
        <v>0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</row>
    <row r="31" spans="2:121" outlineLevel="1" x14ac:dyDescent="0.25">
      <c r="B31" s="21" t="s">
        <v>5</v>
      </c>
      <c r="C31" s="21" t="s">
        <v>101</v>
      </c>
      <c r="D31" s="29">
        <f>1</f>
        <v>1</v>
      </c>
      <c r="E31" s="16"/>
      <c r="F31" s="16"/>
      <c r="G31" s="16"/>
      <c r="H31" s="16"/>
      <c r="I31" s="28">
        <f t="shared" ca="1" si="9"/>
        <v>0</v>
      </c>
      <c r="J31" s="29">
        <f>1</f>
        <v>1</v>
      </c>
      <c r="K31" s="16"/>
      <c r="L31" s="16"/>
      <c r="M31" s="16"/>
      <c r="N31" s="16"/>
      <c r="O31" s="28">
        <f t="shared" ca="1" si="10"/>
        <v>0</v>
      </c>
      <c r="P31" s="29">
        <f>1</f>
        <v>1</v>
      </c>
      <c r="Q31" s="16"/>
      <c r="R31" s="16"/>
      <c r="S31" s="16"/>
      <c r="T31" s="16"/>
      <c r="U31" s="28">
        <f t="shared" ca="1" si="11"/>
        <v>0</v>
      </c>
      <c r="V31" s="29">
        <f>1</f>
        <v>1</v>
      </c>
      <c r="W31" s="16"/>
      <c r="X31" s="16"/>
      <c r="Y31" s="16"/>
      <c r="Z31" s="16"/>
      <c r="AA31" s="28">
        <f t="shared" ca="1" si="12"/>
        <v>0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</row>
    <row r="32" spans="2:121" outlineLevel="1" x14ac:dyDescent="0.25">
      <c r="B32" s="21" t="s">
        <v>5</v>
      </c>
      <c r="C32" s="21"/>
      <c r="D32" s="29">
        <f>1</f>
        <v>1</v>
      </c>
      <c r="E32" s="16"/>
      <c r="F32" s="16"/>
      <c r="G32" s="16"/>
      <c r="H32" s="16"/>
      <c r="I32" s="28">
        <f t="shared" ca="1" si="9"/>
        <v>0</v>
      </c>
      <c r="J32" s="29">
        <f>1</f>
        <v>1</v>
      </c>
      <c r="K32" s="16"/>
      <c r="L32" s="16"/>
      <c r="M32" s="16"/>
      <c r="N32" s="16"/>
      <c r="O32" s="28">
        <f t="shared" ca="1" si="10"/>
        <v>0</v>
      </c>
      <c r="P32" s="29">
        <f>1</f>
        <v>1</v>
      </c>
      <c r="Q32" s="16"/>
      <c r="R32" s="16"/>
      <c r="S32" s="16"/>
      <c r="T32" s="16"/>
      <c r="U32" s="28">
        <f t="shared" ca="1" si="11"/>
        <v>0</v>
      </c>
      <c r="V32" s="29">
        <f>1</f>
        <v>1</v>
      </c>
      <c r="W32" s="16"/>
      <c r="X32" s="16"/>
      <c r="Y32" s="16"/>
      <c r="Z32" s="16"/>
      <c r="AA32" s="28">
        <f t="shared" ca="1" si="12"/>
        <v>0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</row>
    <row r="33" spans="2:121" outlineLevel="1" x14ac:dyDescent="0.25">
      <c r="B33" s="21" t="s">
        <v>5</v>
      </c>
      <c r="C33" s="21"/>
      <c r="D33" s="29">
        <f>1</f>
        <v>1</v>
      </c>
      <c r="E33" s="16"/>
      <c r="F33" s="16"/>
      <c r="G33" s="16"/>
      <c r="H33" s="16"/>
      <c r="I33" s="28">
        <f t="shared" ca="1" si="9"/>
        <v>0</v>
      </c>
      <c r="J33" s="29">
        <f>1</f>
        <v>1</v>
      </c>
      <c r="K33" s="16"/>
      <c r="L33" s="16"/>
      <c r="M33" s="16"/>
      <c r="N33" s="16"/>
      <c r="O33" s="28">
        <f t="shared" ca="1" si="10"/>
        <v>0</v>
      </c>
      <c r="P33" s="29">
        <f>1</f>
        <v>1</v>
      </c>
      <c r="Q33" s="16"/>
      <c r="R33" s="16"/>
      <c r="S33" s="16"/>
      <c r="T33" s="16"/>
      <c r="U33" s="28">
        <f t="shared" ca="1" si="11"/>
        <v>0</v>
      </c>
      <c r="V33" s="29">
        <f>1</f>
        <v>1</v>
      </c>
      <c r="W33" s="16"/>
      <c r="X33" s="16"/>
      <c r="Y33" s="16"/>
      <c r="Z33" s="16"/>
      <c r="AA33" s="28">
        <f t="shared" ca="1" si="12"/>
        <v>0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</row>
    <row r="34" spans="2:121" outlineLevel="1" x14ac:dyDescent="0.25">
      <c r="B34" s="21" t="s">
        <v>5</v>
      </c>
      <c r="C34" s="21"/>
      <c r="D34" s="29">
        <f>1</f>
        <v>1</v>
      </c>
      <c r="E34" s="16"/>
      <c r="F34" s="16"/>
      <c r="G34" s="16"/>
      <c r="H34" s="16"/>
      <c r="I34" s="28">
        <f t="shared" ca="1" si="9"/>
        <v>0</v>
      </c>
      <c r="J34" s="29">
        <f>1</f>
        <v>1</v>
      </c>
      <c r="K34" s="16"/>
      <c r="L34" s="16"/>
      <c r="M34" s="16"/>
      <c r="N34" s="16"/>
      <c r="O34" s="28">
        <f t="shared" ca="1" si="10"/>
        <v>0</v>
      </c>
      <c r="P34" s="29">
        <f>1</f>
        <v>1</v>
      </c>
      <c r="Q34" s="16"/>
      <c r="R34" s="16"/>
      <c r="S34" s="16"/>
      <c r="T34" s="16"/>
      <c r="U34" s="28">
        <f t="shared" ca="1" si="11"/>
        <v>0</v>
      </c>
      <c r="V34" s="29">
        <f>1</f>
        <v>1</v>
      </c>
      <c r="W34" s="16"/>
      <c r="X34" s="16"/>
      <c r="Y34" s="16"/>
      <c r="Z34" s="16"/>
      <c r="AA34" s="28">
        <f t="shared" ca="1" si="12"/>
        <v>0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</row>
    <row r="35" spans="2:121" outlineLevel="1" x14ac:dyDescent="0.25">
      <c r="B35" s="21" t="s">
        <v>5</v>
      </c>
      <c r="C35" s="21" t="s">
        <v>101</v>
      </c>
      <c r="D35" s="29">
        <f>1</f>
        <v>1</v>
      </c>
      <c r="E35" s="16"/>
      <c r="F35" s="16"/>
      <c r="G35" s="16"/>
      <c r="H35" s="16"/>
      <c r="I35" s="28">
        <f t="shared" ca="1" si="9"/>
        <v>0</v>
      </c>
      <c r="J35" s="29">
        <f>1</f>
        <v>1</v>
      </c>
      <c r="K35" s="16"/>
      <c r="L35" s="16"/>
      <c r="M35" s="16"/>
      <c r="N35" s="16"/>
      <c r="O35" s="28">
        <f t="shared" ca="1" si="10"/>
        <v>0</v>
      </c>
      <c r="P35" s="29">
        <f>1</f>
        <v>1</v>
      </c>
      <c r="Q35" s="16"/>
      <c r="R35" s="16"/>
      <c r="S35" s="16"/>
      <c r="T35" s="16"/>
      <c r="U35" s="28">
        <f t="shared" ca="1" si="11"/>
        <v>0</v>
      </c>
      <c r="V35" s="29">
        <f>1</f>
        <v>1</v>
      </c>
      <c r="W35" s="16"/>
      <c r="X35" s="16"/>
      <c r="Y35" s="16"/>
      <c r="Z35" s="16"/>
      <c r="AA35" s="28">
        <f t="shared" ca="1" si="12"/>
        <v>0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</row>
    <row r="36" spans="2:121" hidden="1" x14ac:dyDescent="0.25">
      <c r="B36" s="18" t="s">
        <v>101</v>
      </c>
      <c r="C36" s="18"/>
      <c r="D36" s="32">
        <f>1</f>
        <v>1</v>
      </c>
      <c r="E36" s="17">
        <f>SUM(E37:E42)</f>
        <v>0</v>
      </c>
      <c r="F36" s="17">
        <f>SUM(F37:F42)</f>
        <v>0</v>
      </c>
      <c r="G36" s="17">
        <f>SUM(G37:G42)</f>
        <v>0</v>
      </c>
      <c r="H36" s="17">
        <f>SUM(H37:H42)</f>
        <v>0</v>
      </c>
      <c r="I36" s="33">
        <f t="shared" ca="1" si="9"/>
        <v>0</v>
      </c>
      <c r="J36" s="32">
        <f>1</f>
        <v>1</v>
      </c>
      <c r="K36" s="17">
        <f>SUM(K37:K42)</f>
        <v>0</v>
      </c>
      <c r="L36" s="17">
        <f>SUM(L37:L42)</f>
        <v>0</v>
      </c>
      <c r="M36" s="17">
        <f>SUM(M37:M42)</f>
        <v>0</v>
      </c>
      <c r="N36" s="17">
        <f>SUM(N37:N42)</f>
        <v>0</v>
      </c>
      <c r="O36" s="33">
        <f t="shared" ca="1" si="10"/>
        <v>0</v>
      </c>
      <c r="P36" s="32">
        <f>1</f>
        <v>1</v>
      </c>
      <c r="Q36" s="17">
        <f>SUM(Q37:Q42)</f>
        <v>0</v>
      </c>
      <c r="R36" s="17">
        <f>SUM(R37:R42)</f>
        <v>0</v>
      </c>
      <c r="S36" s="17">
        <f>SUM(S37:S42)</f>
        <v>0</v>
      </c>
      <c r="T36" s="17">
        <f>SUM(T37:T42)</f>
        <v>0</v>
      </c>
      <c r="U36" s="33">
        <f t="shared" ca="1" si="11"/>
        <v>0</v>
      </c>
      <c r="V36" s="32">
        <f>1</f>
        <v>1</v>
      </c>
      <c r="W36" s="17">
        <f>SUM(W37:W42)</f>
        <v>2</v>
      </c>
      <c r="X36" s="17">
        <f>SUM(X37:X42)</f>
        <v>1</v>
      </c>
      <c r="Y36" s="17">
        <f>SUM(Y37:Y42)</f>
        <v>0</v>
      </c>
      <c r="Z36" s="17">
        <f>SUM(Z37:Z42)</f>
        <v>0</v>
      </c>
      <c r="AA36" s="33">
        <f t="shared" ca="1" si="12"/>
        <v>3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</row>
    <row r="37" spans="2:121" hidden="1" x14ac:dyDescent="0.25">
      <c r="B37" s="21" t="s">
        <v>4</v>
      </c>
      <c r="C37" s="21" t="s">
        <v>101</v>
      </c>
      <c r="D37" s="29">
        <f>1</f>
        <v>1</v>
      </c>
      <c r="E37" s="16"/>
      <c r="F37" s="16"/>
      <c r="G37" s="16"/>
      <c r="H37" s="16"/>
      <c r="I37" s="28">
        <f t="shared" ca="1" si="9"/>
        <v>0</v>
      </c>
      <c r="J37" s="29">
        <f>1</f>
        <v>1</v>
      </c>
      <c r="K37" s="16"/>
      <c r="L37" s="16"/>
      <c r="M37" s="16"/>
      <c r="N37" s="16"/>
      <c r="O37" s="28">
        <f t="shared" ca="1" si="10"/>
        <v>0</v>
      </c>
      <c r="P37" s="29">
        <f>1</f>
        <v>1</v>
      </c>
      <c r="Q37" s="16"/>
      <c r="R37" s="16"/>
      <c r="S37" s="16"/>
      <c r="T37" s="16"/>
      <c r="U37" s="28">
        <f t="shared" ca="1" si="11"/>
        <v>0</v>
      </c>
      <c r="V37" s="29">
        <f>1</f>
        <v>1</v>
      </c>
      <c r="W37" s="16"/>
      <c r="X37" s="16"/>
      <c r="Y37" s="16"/>
      <c r="Z37" s="16"/>
      <c r="AA37" s="28">
        <f t="shared" ca="1" si="12"/>
        <v>0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</row>
    <row r="38" spans="2:121" hidden="1" x14ac:dyDescent="0.25">
      <c r="B38" s="21" t="s">
        <v>4</v>
      </c>
      <c r="C38" s="21" t="s">
        <v>101</v>
      </c>
      <c r="D38" s="29">
        <f>1</f>
        <v>1</v>
      </c>
      <c r="E38" s="16"/>
      <c r="F38" s="16"/>
      <c r="G38" s="16"/>
      <c r="H38" s="16"/>
      <c r="I38" s="28">
        <f t="shared" ca="1" si="9"/>
        <v>0</v>
      </c>
      <c r="J38" s="29">
        <f>1</f>
        <v>1</v>
      </c>
      <c r="K38" s="16"/>
      <c r="L38" s="16"/>
      <c r="M38" s="16"/>
      <c r="N38" s="16"/>
      <c r="O38" s="28">
        <f t="shared" ca="1" si="10"/>
        <v>0</v>
      </c>
      <c r="P38" s="29">
        <f>1</f>
        <v>1</v>
      </c>
      <c r="Q38" s="16"/>
      <c r="R38" s="16"/>
      <c r="S38" s="16"/>
      <c r="T38" s="16"/>
      <c r="U38" s="28">
        <f t="shared" ca="1" si="11"/>
        <v>0</v>
      </c>
      <c r="V38" s="29">
        <f>1</f>
        <v>1</v>
      </c>
      <c r="W38" s="16"/>
      <c r="X38" s="16">
        <v>1</v>
      </c>
      <c r="Y38" s="16">
        <v>0</v>
      </c>
      <c r="Z38" s="16">
        <v>0</v>
      </c>
      <c r="AA38" s="28">
        <f t="shared" ca="1" si="12"/>
        <v>1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</row>
    <row r="39" spans="2:121" hidden="1" x14ac:dyDescent="0.25">
      <c r="B39" s="21" t="s">
        <v>4</v>
      </c>
      <c r="C39" s="21"/>
      <c r="D39" s="29">
        <f>1</f>
        <v>1</v>
      </c>
      <c r="E39" s="16"/>
      <c r="F39" s="16"/>
      <c r="G39" s="16"/>
      <c r="H39" s="16"/>
      <c r="I39" s="28">
        <f t="shared" ca="1" si="9"/>
        <v>0</v>
      </c>
      <c r="J39" s="29">
        <f>1</f>
        <v>1</v>
      </c>
      <c r="K39" s="16"/>
      <c r="L39" s="16"/>
      <c r="M39" s="16"/>
      <c r="N39" s="16"/>
      <c r="O39" s="28">
        <f t="shared" ca="1" si="10"/>
        <v>0</v>
      </c>
      <c r="P39" s="29">
        <f>1</f>
        <v>1</v>
      </c>
      <c r="Q39" s="16"/>
      <c r="R39" s="16"/>
      <c r="S39" s="16"/>
      <c r="T39" s="16"/>
      <c r="U39" s="28">
        <f t="shared" ca="1" si="11"/>
        <v>0</v>
      </c>
      <c r="V39" s="29">
        <f>1</f>
        <v>1</v>
      </c>
      <c r="W39" s="16">
        <v>1</v>
      </c>
      <c r="X39" s="16">
        <v>0</v>
      </c>
      <c r="Y39" s="16">
        <v>0</v>
      </c>
      <c r="Z39" s="16">
        <v>0</v>
      </c>
      <c r="AA39" s="28">
        <f t="shared" ca="1" si="12"/>
        <v>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</row>
    <row r="40" spans="2:121" hidden="1" x14ac:dyDescent="0.25">
      <c r="B40" s="21" t="s">
        <v>4</v>
      </c>
      <c r="C40" s="21"/>
      <c r="D40" s="29">
        <f>1</f>
        <v>1</v>
      </c>
      <c r="E40" s="16"/>
      <c r="F40" s="16"/>
      <c r="G40" s="16"/>
      <c r="H40" s="16"/>
      <c r="I40" s="28">
        <f t="shared" ca="1" si="9"/>
        <v>0</v>
      </c>
      <c r="J40" s="29">
        <f>1</f>
        <v>1</v>
      </c>
      <c r="K40" s="16"/>
      <c r="L40" s="16"/>
      <c r="M40" s="16"/>
      <c r="N40" s="16"/>
      <c r="O40" s="28">
        <f t="shared" ca="1" si="10"/>
        <v>0</v>
      </c>
      <c r="P40" s="29">
        <f>1</f>
        <v>1</v>
      </c>
      <c r="Q40" s="16"/>
      <c r="R40" s="16"/>
      <c r="S40" s="16"/>
      <c r="T40" s="16"/>
      <c r="U40" s="28">
        <f t="shared" ca="1" si="11"/>
        <v>0</v>
      </c>
      <c r="V40" s="29">
        <f>1</f>
        <v>1</v>
      </c>
      <c r="W40" s="16">
        <v>1</v>
      </c>
      <c r="X40" s="16">
        <v>0</v>
      </c>
      <c r="Y40" s="16">
        <v>0</v>
      </c>
      <c r="Z40" s="16">
        <v>0</v>
      </c>
      <c r="AA40" s="28">
        <f t="shared" ca="1" si="12"/>
        <v>1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</row>
    <row r="41" spans="2:121" hidden="1" x14ac:dyDescent="0.25">
      <c r="B41" s="21" t="s">
        <v>4</v>
      </c>
      <c r="C41" s="21"/>
      <c r="D41" s="29">
        <f>1</f>
        <v>1</v>
      </c>
      <c r="E41" s="16"/>
      <c r="F41" s="16"/>
      <c r="G41" s="16"/>
      <c r="H41" s="16"/>
      <c r="I41" s="28">
        <f t="shared" ca="1" si="9"/>
        <v>0</v>
      </c>
      <c r="J41" s="29">
        <f>1</f>
        <v>1</v>
      </c>
      <c r="K41" s="16"/>
      <c r="L41" s="16"/>
      <c r="M41" s="16"/>
      <c r="N41" s="16"/>
      <c r="O41" s="28">
        <f t="shared" ca="1" si="10"/>
        <v>0</v>
      </c>
      <c r="P41" s="29">
        <f>1</f>
        <v>1</v>
      </c>
      <c r="Q41" s="16"/>
      <c r="R41" s="16"/>
      <c r="S41" s="16"/>
      <c r="T41" s="16"/>
      <c r="U41" s="28">
        <f t="shared" ca="1" si="11"/>
        <v>0</v>
      </c>
      <c r="V41" s="29">
        <f>1</f>
        <v>1</v>
      </c>
      <c r="W41" s="16"/>
      <c r="X41" s="16"/>
      <c r="Y41" s="16"/>
      <c r="Z41" s="16"/>
      <c r="AA41" s="28">
        <f t="shared" ca="1" si="12"/>
        <v>0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</row>
    <row r="42" spans="2:121" hidden="1" x14ac:dyDescent="0.25">
      <c r="B42" s="21" t="s">
        <v>4</v>
      </c>
      <c r="C42" s="21" t="s">
        <v>101</v>
      </c>
      <c r="D42" s="29">
        <f>1</f>
        <v>1</v>
      </c>
      <c r="E42" s="16"/>
      <c r="F42" s="16"/>
      <c r="G42" s="16"/>
      <c r="H42" s="16"/>
      <c r="I42" s="28">
        <f t="shared" ca="1" si="9"/>
        <v>0</v>
      </c>
      <c r="J42" s="29">
        <f>1</f>
        <v>1</v>
      </c>
      <c r="K42" s="16"/>
      <c r="L42" s="16"/>
      <c r="M42" s="16"/>
      <c r="N42" s="16"/>
      <c r="O42" s="28">
        <f t="shared" ca="1" si="10"/>
        <v>0</v>
      </c>
      <c r="P42" s="29">
        <f>1</f>
        <v>1</v>
      </c>
      <c r="Q42" s="16"/>
      <c r="R42" s="16"/>
      <c r="S42" s="16"/>
      <c r="T42" s="16"/>
      <c r="U42" s="28">
        <f t="shared" ca="1" si="11"/>
        <v>0</v>
      </c>
      <c r="V42" s="29">
        <f>1</f>
        <v>1</v>
      </c>
      <c r="W42" s="16"/>
      <c r="X42" s="16"/>
      <c r="Y42" s="16"/>
      <c r="Z42" s="16"/>
      <c r="AA42" s="28">
        <f t="shared" ca="1" si="12"/>
        <v>0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</row>
    <row r="43" spans="2:121" x14ac:dyDescent="0.25">
      <c r="B43" s="18" t="s">
        <v>101</v>
      </c>
      <c r="C43" s="18"/>
      <c r="D43" s="32">
        <f>1</f>
        <v>1</v>
      </c>
      <c r="E43" s="17">
        <f>SUM(E44:E49)</f>
        <v>0</v>
      </c>
      <c r="F43" s="17">
        <f>SUM(F44:F49)</f>
        <v>0</v>
      </c>
      <c r="G43" s="17">
        <f>SUM(G44:G49)</f>
        <v>0</v>
      </c>
      <c r="H43" s="17">
        <f>SUM(H44:H49)</f>
        <v>0</v>
      </c>
      <c r="I43" s="33">
        <f t="shared" ca="1" si="9"/>
        <v>0</v>
      </c>
      <c r="J43" s="32">
        <f>1</f>
        <v>1</v>
      </c>
      <c r="K43" s="17">
        <f>SUM(K44:K49)</f>
        <v>0</v>
      </c>
      <c r="L43" s="17">
        <f>SUM(L44:L49)</f>
        <v>0</v>
      </c>
      <c r="M43" s="17">
        <f>SUM(M44:M49)</f>
        <v>0</v>
      </c>
      <c r="N43" s="17">
        <f>SUM(N44:N49)</f>
        <v>0</v>
      </c>
      <c r="O43" s="33">
        <f t="shared" ca="1" si="10"/>
        <v>0</v>
      </c>
      <c r="P43" s="32">
        <f>1</f>
        <v>1</v>
      </c>
      <c r="Q43" s="17">
        <f>SUM(Q44:Q49)</f>
        <v>0</v>
      </c>
      <c r="R43" s="17">
        <f>SUM(R44:R49)</f>
        <v>0</v>
      </c>
      <c r="S43" s="17">
        <f>SUM(S44:S49)</f>
        <v>0</v>
      </c>
      <c r="T43" s="17">
        <f>SUM(T44:T49)</f>
        <v>0</v>
      </c>
      <c r="U43" s="33">
        <f t="shared" ca="1" si="11"/>
        <v>0</v>
      </c>
      <c r="V43" s="32">
        <f>1</f>
        <v>1</v>
      </c>
      <c r="W43" s="17">
        <f>SUM(W44:W49)</f>
        <v>4</v>
      </c>
      <c r="X43" s="17">
        <f>SUM(X44:X49)</f>
        <v>2</v>
      </c>
      <c r="Y43" s="17">
        <f>SUM(Y44:Y49)</f>
        <v>0</v>
      </c>
      <c r="Z43" s="17">
        <f>SUM(Z44:Z49)</f>
        <v>0</v>
      </c>
      <c r="AA43" s="33">
        <f t="shared" ca="1" si="12"/>
        <v>6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</row>
    <row r="44" spans="2:121" x14ac:dyDescent="0.25">
      <c r="B44" s="21" t="s">
        <v>101</v>
      </c>
      <c r="C44" s="21"/>
      <c r="D44" s="29">
        <f t="shared" ref="D44:AA44" si="13">SUM(D16,D23)</f>
        <v>2</v>
      </c>
      <c r="E44" s="16">
        <f t="shared" si="13"/>
        <v>0</v>
      </c>
      <c r="F44" s="16">
        <f t="shared" si="13"/>
        <v>0</v>
      </c>
      <c r="G44" s="16">
        <f t="shared" si="13"/>
        <v>0</v>
      </c>
      <c r="H44" s="16">
        <f t="shared" si="13"/>
        <v>0</v>
      </c>
      <c r="I44" s="28">
        <f t="shared" ca="1" si="13"/>
        <v>0</v>
      </c>
      <c r="J44" s="29">
        <f t="shared" si="13"/>
        <v>2</v>
      </c>
      <c r="K44" s="16">
        <f t="shared" si="13"/>
        <v>0</v>
      </c>
      <c r="L44" s="16">
        <f t="shared" si="13"/>
        <v>0</v>
      </c>
      <c r="M44" s="16">
        <f t="shared" si="13"/>
        <v>0</v>
      </c>
      <c r="N44" s="16">
        <f t="shared" si="13"/>
        <v>0</v>
      </c>
      <c r="O44" s="28">
        <f t="shared" ca="1" si="13"/>
        <v>0</v>
      </c>
      <c r="P44" s="29">
        <f t="shared" si="13"/>
        <v>2</v>
      </c>
      <c r="Q44" s="16">
        <f t="shared" si="13"/>
        <v>0</v>
      </c>
      <c r="R44" s="16">
        <f t="shared" si="13"/>
        <v>0</v>
      </c>
      <c r="S44" s="16">
        <f t="shared" si="13"/>
        <v>0</v>
      </c>
      <c r="T44" s="16">
        <f t="shared" si="13"/>
        <v>0</v>
      </c>
      <c r="U44" s="28">
        <f t="shared" ca="1" si="13"/>
        <v>0</v>
      </c>
      <c r="V44" s="29">
        <f t="shared" si="13"/>
        <v>2</v>
      </c>
      <c r="W44" s="16">
        <f t="shared" si="13"/>
        <v>0</v>
      </c>
      <c r="X44" s="16">
        <f t="shared" si="13"/>
        <v>0</v>
      </c>
      <c r="Y44" s="16">
        <f t="shared" si="13"/>
        <v>0</v>
      </c>
      <c r="Z44" s="16">
        <f t="shared" si="13"/>
        <v>0</v>
      </c>
      <c r="AA44" s="28">
        <f t="shared" ca="1" si="13"/>
        <v>0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</row>
    <row r="45" spans="2:121" x14ac:dyDescent="0.25">
      <c r="B45" s="21" t="s">
        <v>101</v>
      </c>
      <c r="C45" s="21"/>
      <c r="D45" s="29">
        <f t="shared" ref="D45:AA45" si="14">SUM(D17,D24)</f>
        <v>2</v>
      </c>
      <c r="E45" s="16">
        <f t="shared" si="14"/>
        <v>0</v>
      </c>
      <c r="F45" s="16">
        <f t="shared" si="14"/>
        <v>0</v>
      </c>
      <c r="G45" s="16">
        <f t="shared" si="14"/>
        <v>0</v>
      </c>
      <c r="H45" s="16">
        <f t="shared" si="14"/>
        <v>0</v>
      </c>
      <c r="I45" s="28">
        <f t="shared" ca="1" si="14"/>
        <v>0</v>
      </c>
      <c r="J45" s="29">
        <f t="shared" si="14"/>
        <v>2</v>
      </c>
      <c r="K45" s="16">
        <f t="shared" si="14"/>
        <v>0</v>
      </c>
      <c r="L45" s="16">
        <f t="shared" si="14"/>
        <v>0</v>
      </c>
      <c r="M45" s="16">
        <f t="shared" si="14"/>
        <v>0</v>
      </c>
      <c r="N45" s="16">
        <f t="shared" si="14"/>
        <v>0</v>
      </c>
      <c r="O45" s="28">
        <f t="shared" ca="1" si="14"/>
        <v>0</v>
      </c>
      <c r="P45" s="29">
        <f t="shared" si="14"/>
        <v>2</v>
      </c>
      <c r="Q45" s="16">
        <f t="shared" si="14"/>
        <v>0</v>
      </c>
      <c r="R45" s="16">
        <f t="shared" si="14"/>
        <v>0</v>
      </c>
      <c r="S45" s="16">
        <f t="shared" si="14"/>
        <v>0</v>
      </c>
      <c r="T45" s="16">
        <f t="shared" si="14"/>
        <v>0</v>
      </c>
      <c r="U45" s="28">
        <f t="shared" ca="1" si="14"/>
        <v>0</v>
      </c>
      <c r="V45" s="29">
        <f t="shared" si="14"/>
        <v>2</v>
      </c>
      <c r="W45" s="16">
        <f t="shared" si="14"/>
        <v>0</v>
      </c>
      <c r="X45" s="16">
        <f t="shared" si="14"/>
        <v>2</v>
      </c>
      <c r="Y45" s="16">
        <f t="shared" si="14"/>
        <v>0</v>
      </c>
      <c r="Z45" s="16">
        <f t="shared" si="14"/>
        <v>0</v>
      </c>
      <c r="AA45" s="28">
        <f t="shared" ca="1" si="14"/>
        <v>2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</row>
    <row r="46" spans="2:121" x14ac:dyDescent="0.25">
      <c r="B46" s="21" t="s">
        <v>101</v>
      </c>
      <c r="C46" s="21"/>
      <c r="D46" s="29">
        <f t="shared" ref="D46:AA46" si="15">SUM(D18,D25)</f>
        <v>2</v>
      </c>
      <c r="E46" s="16">
        <f t="shared" si="15"/>
        <v>0</v>
      </c>
      <c r="F46" s="16">
        <f t="shared" si="15"/>
        <v>0</v>
      </c>
      <c r="G46" s="16">
        <f t="shared" si="15"/>
        <v>0</v>
      </c>
      <c r="H46" s="16">
        <f t="shared" si="15"/>
        <v>0</v>
      </c>
      <c r="I46" s="28">
        <f t="shared" ca="1" si="15"/>
        <v>0</v>
      </c>
      <c r="J46" s="29">
        <f t="shared" si="15"/>
        <v>2</v>
      </c>
      <c r="K46" s="16">
        <f t="shared" si="15"/>
        <v>0</v>
      </c>
      <c r="L46" s="16">
        <f t="shared" si="15"/>
        <v>0</v>
      </c>
      <c r="M46" s="16">
        <f t="shared" si="15"/>
        <v>0</v>
      </c>
      <c r="N46" s="16">
        <f t="shared" si="15"/>
        <v>0</v>
      </c>
      <c r="O46" s="28">
        <f t="shared" ca="1" si="15"/>
        <v>0</v>
      </c>
      <c r="P46" s="29">
        <f t="shared" si="15"/>
        <v>2</v>
      </c>
      <c r="Q46" s="16">
        <f t="shared" si="15"/>
        <v>0</v>
      </c>
      <c r="R46" s="16">
        <f t="shared" si="15"/>
        <v>0</v>
      </c>
      <c r="S46" s="16">
        <f t="shared" si="15"/>
        <v>0</v>
      </c>
      <c r="T46" s="16">
        <f t="shared" si="15"/>
        <v>0</v>
      </c>
      <c r="U46" s="28">
        <f t="shared" ca="1" si="15"/>
        <v>0</v>
      </c>
      <c r="V46" s="29">
        <f t="shared" si="15"/>
        <v>2</v>
      </c>
      <c r="W46" s="16">
        <f t="shared" si="15"/>
        <v>2</v>
      </c>
      <c r="X46" s="16">
        <f t="shared" si="15"/>
        <v>0</v>
      </c>
      <c r="Y46" s="16">
        <f t="shared" si="15"/>
        <v>0</v>
      </c>
      <c r="Z46" s="16">
        <f t="shared" si="15"/>
        <v>0</v>
      </c>
      <c r="AA46" s="28">
        <f t="shared" ca="1" si="15"/>
        <v>2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</row>
    <row r="47" spans="2:121" x14ac:dyDescent="0.25">
      <c r="B47" s="21" t="s">
        <v>101</v>
      </c>
      <c r="C47" s="21"/>
      <c r="D47" s="29">
        <f t="shared" ref="D47:AA47" si="16">SUM(D19,D26)</f>
        <v>2</v>
      </c>
      <c r="E47" s="16">
        <f t="shared" si="16"/>
        <v>0</v>
      </c>
      <c r="F47" s="16">
        <f t="shared" si="16"/>
        <v>0</v>
      </c>
      <c r="G47" s="16">
        <f t="shared" si="16"/>
        <v>0</v>
      </c>
      <c r="H47" s="16">
        <f t="shared" si="16"/>
        <v>0</v>
      </c>
      <c r="I47" s="28">
        <f t="shared" ca="1" si="16"/>
        <v>0</v>
      </c>
      <c r="J47" s="29">
        <f t="shared" si="16"/>
        <v>2</v>
      </c>
      <c r="K47" s="16">
        <f t="shared" si="16"/>
        <v>0</v>
      </c>
      <c r="L47" s="16">
        <f t="shared" si="16"/>
        <v>0</v>
      </c>
      <c r="M47" s="16">
        <f t="shared" si="16"/>
        <v>0</v>
      </c>
      <c r="N47" s="16">
        <f t="shared" si="16"/>
        <v>0</v>
      </c>
      <c r="O47" s="28">
        <f t="shared" ca="1" si="16"/>
        <v>0</v>
      </c>
      <c r="P47" s="29">
        <f t="shared" si="16"/>
        <v>2</v>
      </c>
      <c r="Q47" s="16">
        <f t="shared" si="16"/>
        <v>0</v>
      </c>
      <c r="R47" s="16">
        <f t="shared" si="16"/>
        <v>0</v>
      </c>
      <c r="S47" s="16">
        <f t="shared" si="16"/>
        <v>0</v>
      </c>
      <c r="T47" s="16">
        <f t="shared" si="16"/>
        <v>0</v>
      </c>
      <c r="U47" s="28">
        <f t="shared" ca="1" si="16"/>
        <v>0</v>
      </c>
      <c r="V47" s="29">
        <f t="shared" si="16"/>
        <v>2</v>
      </c>
      <c r="W47" s="16">
        <f t="shared" si="16"/>
        <v>2</v>
      </c>
      <c r="X47" s="16">
        <f t="shared" si="16"/>
        <v>0</v>
      </c>
      <c r="Y47" s="16">
        <f t="shared" si="16"/>
        <v>0</v>
      </c>
      <c r="Z47" s="16">
        <f t="shared" si="16"/>
        <v>0</v>
      </c>
      <c r="AA47" s="28">
        <f t="shared" ca="1" si="16"/>
        <v>2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</row>
    <row r="48" spans="2:121" x14ac:dyDescent="0.25">
      <c r="B48" s="21" t="s">
        <v>101</v>
      </c>
      <c r="C48" s="21" t="s">
        <v>101</v>
      </c>
      <c r="D48" s="29">
        <f t="shared" ref="D48:AA48" si="17">SUM(D20,D27)</f>
        <v>2</v>
      </c>
      <c r="E48" s="16">
        <f t="shared" si="17"/>
        <v>0</v>
      </c>
      <c r="F48" s="16">
        <f t="shared" si="17"/>
        <v>0</v>
      </c>
      <c r="G48" s="16">
        <f t="shared" si="17"/>
        <v>0</v>
      </c>
      <c r="H48" s="16">
        <f t="shared" si="17"/>
        <v>0</v>
      </c>
      <c r="I48" s="28">
        <f t="shared" ca="1" si="17"/>
        <v>0</v>
      </c>
      <c r="J48" s="29">
        <f t="shared" si="17"/>
        <v>2</v>
      </c>
      <c r="K48" s="16">
        <f t="shared" si="17"/>
        <v>0</v>
      </c>
      <c r="L48" s="16">
        <f t="shared" si="17"/>
        <v>0</v>
      </c>
      <c r="M48" s="16">
        <f t="shared" si="17"/>
        <v>0</v>
      </c>
      <c r="N48" s="16">
        <f t="shared" si="17"/>
        <v>0</v>
      </c>
      <c r="O48" s="28">
        <f t="shared" ca="1" si="17"/>
        <v>0</v>
      </c>
      <c r="P48" s="29">
        <f t="shared" si="17"/>
        <v>2</v>
      </c>
      <c r="Q48" s="16">
        <f t="shared" si="17"/>
        <v>0</v>
      </c>
      <c r="R48" s="16">
        <f t="shared" si="17"/>
        <v>0</v>
      </c>
      <c r="S48" s="16">
        <f t="shared" si="17"/>
        <v>0</v>
      </c>
      <c r="T48" s="16">
        <f t="shared" si="17"/>
        <v>0</v>
      </c>
      <c r="U48" s="28">
        <f t="shared" ca="1" si="17"/>
        <v>0</v>
      </c>
      <c r="V48" s="29">
        <f t="shared" si="17"/>
        <v>2</v>
      </c>
      <c r="W48" s="16">
        <f t="shared" si="17"/>
        <v>0</v>
      </c>
      <c r="X48" s="16">
        <f t="shared" si="17"/>
        <v>0</v>
      </c>
      <c r="Y48" s="16">
        <f t="shared" si="17"/>
        <v>0</v>
      </c>
      <c r="Z48" s="16">
        <f t="shared" si="17"/>
        <v>0</v>
      </c>
      <c r="AA48" s="28">
        <f t="shared" ca="1" si="17"/>
        <v>0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</row>
    <row r="49" spans="2:121" x14ac:dyDescent="0.25">
      <c r="B49" s="21" t="s">
        <v>101</v>
      </c>
      <c r="C49" s="21" t="s">
        <v>101</v>
      </c>
      <c r="D49" s="29">
        <f t="shared" ref="D49:AA49" si="18">SUM(D21,D28)</f>
        <v>2</v>
      </c>
      <c r="E49" s="16">
        <f t="shared" si="18"/>
        <v>0</v>
      </c>
      <c r="F49" s="16">
        <f t="shared" si="18"/>
        <v>0</v>
      </c>
      <c r="G49" s="16">
        <f t="shared" si="18"/>
        <v>0</v>
      </c>
      <c r="H49" s="16">
        <f t="shared" si="18"/>
        <v>0</v>
      </c>
      <c r="I49" s="28">
        <f t="shared" ca="1" si="18"/>
        <v>0</v>
      </c>
      <c r="J49" s="29">
        <f t="shared" si="18"/>
        <v>2</v>
      </c>
      <c r="K49" s="16">
        <f t="shared" si="18"/>
        <v>0</v>
      </c>
      <c r="L49" s="16">
        <f t="shared" si="18"/>
        <v>0</v>
      </c>
      <c r="M49" s="16">
        <f t="shared" si="18"/>
        <v>0</v>
      </c>
      <c r="N49" s="16">
        <f t="shared" si="18"/>
        <v>0</v>
      </c>
      <c r="O49" s="28">
        <f t="shared" ca="1" si="18"/>
        <v>0</v>
      </c>
      <c r="P49" s="29">
        <f t="shared" si="18"/>
        <v>2</v>
      </c>
      <c r="Q49" s="16">
        <f t="shared" si="18"/>
        <v>0</v>
      </c>
      <c r="R49" s="16">
        <f t="shared" si="18"/>
        <v>0</v>
      </c>
      <c r="S49" s="16">
        <f t="shared" si="18"/>
        <v>0</v>
      </c>
      <c r="T49" s="16">
        <f t="shared" si="18"/>
        <v>0</v>
      </c>
      <c r="U49" s="28">
        <f t="shared" ca="1" si="18"/>
        <v>0</v>
      </c>
      <c r="V49" s="29">
        <f t="shared" si="18"/>
        <v>2</v>
      </c>
      <c r="W49" s="16">
        <f t="shared" si="18"/>
        <v>0</v>
      </c>
      <c r="X49" s="16">
        <f t="shared" si="18"/>
        <v>0</v>
      </c>
      <c r="Y49" s="16">
        <f t="shared" si="18"/>
        <v>0</v>
      </c>
      <c r="Z49" s="16">
        <f t="shared" si="18"/>
        <v>0</v>
      </c>
      <c r="AA49" s="28">
        <f t="shared" ca="1" si="18"/>
        <v>0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</row>
    <row r="50" spans="2:121" x14ac:dyDescent="0.25">
      <c r="B50" s="18" t="s">
        <v>101</v>
      </c>
      <c r="C50" s="18" t="s">
        <v>101</v>
      </c>
      <c r="D50" s="39">
        <f t="shared" ref="D50:AA50" si="19">IFERROR(D43/D15,0)</f>
        <v>1</v>
      </c>
      <c r="E50" s="13">
        <f t="shared" si="19"/>
        <v>0</v>
      </c>
      <c r="F50" s="13">
        <f t="shared" si="19"/>
        <v>0</v>
      </c>
      <c r="G50" s="13">
        <f t="shared" si="19"/>
        <v>0</v>
      </c>
      <c r="H50" s="13">
        <f t="shared" si="19"/>
        <v>0</v>
      </c>
      <c r="I50" s="40">
        <f t="shared" ca="1" si="19"/>
        <v>0</v>
      </c>
      <c r="J50" s="39">
        <f t="shared" si="19"/>
        <v>1</v>
      </c>
      <c r="K50" s="13">
        <f t="shared" si="19"/>
        <v>0</v>
      </c>
      <c r="L50" s="13">
        <f t="shared" si="19"/>
        <v>0</v>
      </c>
      <c r="M50" s="13">
        <f t="shared" si="19"/>
        <v>0</v>
      </c>
      <c r="N50" s="13">
        <f t="shared" si="19"/>
        <v>0</v>
      </c>
      <c r="O50" s="40">
        <f t="shared" ca="1" si="19"/>
        <v>0</v>
      </c>
      <c r="P50" s="39">
        <f t="shared" si="19"/>
        <v>1</v>
      </c>
      <c r="Q50" s="13">
        <f t="shared" si="19"/>
        <v>0</v>
      </c>
      <c r="R50" s="13">
        <f t="shared" si="19"/>
        <v>0</v>
      </c>
      <c r="S50" s="13">
        <f t="shared" si="19"/>
        <v>0</v>
      </c>
      <c r="T50" s="13">
        <f t="shared" si="19"/>
        <v>0</v>
      </c>
      <c r="U50" s="40">
        <f t="shared" ca="1" si="19"/>
        <v>0</v>
      </c>
      <c r="V50" s="39">
        <f t="shared" si="19"/>
        <v>1</v>
      </c>
      <c r="W50" s="13">
        <f t="shared" si="19"/>
        <v>2</v>
      </c>
      <c r="X50" s="13">
        <f t="shared" si="19"/>
        <v>2</v>
      </c>
      <c r="Y50" s="13">
        <f t="shared" si="19"/>
        <v>0</v>
      </c>
      <c r="Z50" s="13">
        <f t="shared" si="19"/>
        <v>0</v>
      </c>
      <c r="AA50" s="40">
        <f t="shared" ca="1" si="19"/>
        <v>2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</row>
    <row r="51" spans="2:121" x14ac:dyDescent="0.25">
      <c r="B51" s="21" t="s">
        <v>6</v>
      </c>
      <c r="C51" s="21" t="s">
        <v>101</v>
      </c>
      <c r="D51" s="35">
        <f>1</f>
        <v>1</v>
      </c>
      <c r="E51" s="34"/>
      <c r="F51" s="34"/>
      <c r="G51" s="34"/>
      <c r="H51" s="34"/>
      <c r="I51" s="36">
        <f t="shared" ref="I51:I56" ca="1" si="20">IFERROR(IF(INDIRECT(ADDRESS(ROW(),COLUMN()-7))="SA_0001",INDIRECT(ADDRESS(ROW()-7,COLUMN()))/INDIRECT(ADDRESS(ROW()-35,COLUMN())),SUM(E51:H51)),0)</f>
        <v>0</v>
      </c>
      <c r="J51" s="35">
        <f>1</f>
        <v>1</v>
      </c>
      <c r="K51" s="34"/>
      <c r="L51" s="34"/>
      <c r="M51" s="34"/>
      <c r="N51" s="34"/>
      <c r="O51" s="36">
        <f t="shared" ref="O51:O56" ca="1" si="21">IFERROR(IF(INDIRECT(ADDRESS(ROW(),COLUMN()-13))="SA_0001",INDIRECT(ADDRESS(ROW()-7,COLUMN()))/INDIRECT(ADDRESS(ROW()-35,COLUMN())),SUM(K51:N51)),0)</f>
        <v>0</v>
      </c>
      <c r="P51" s="35">
        <f>1</f>
        <v>1</v>
      </c>
      <c r="Q51" s="34"/>
      <c r="R51" s="34"/>
      <c r="S51" s="34"/>
      <c r="T51" s="34"/>
      <c r="U51" s="36">
        <f t="shared" ref="U51:U56" ca="1" si="22">IFERROR(IF(INDIRECT(ADDRESS(ROW(),COLUMN()-19))="SA_0001",INDIRECT(ADDRESS(ROW()-7,COLUMN()))/INDIRECT(ADDRESS(ROW()-35,COLUMN())),SUM(Q51:T51)),0)</f>
        <v>0</v>
      </c>
      <c r="V51" s="35">
        <f>1</f>
        <v>1</v>
      </c>
      <c r="W51" s="34"/>
      <c r="X51" s="34"/>
      <c r="Y51" s="34"/>
      <c r="Z51" s="34"/>
      <c r="AA51" s="36">
        <f t="shared" ref="AA51:AA56" ca="1" si="23">IFERROR(IF(INDIRECT(ADDRESS(ROW(),COLUMN()-25))="SA_0001",INDIRECT(ADDRESS(ROW()-7,COLUMN()))/INDIRECT(ADDRESS(ROW()-35,COLUMN())),SUM(W51:Z51)),0)</f>
        <v>0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</row>
    <row r="52" spans="2:121" x14ac:dyDescent="0.25">
      <c r="B52" s="21" t="s">
        <v>6</v>
      </c>
      <c r="C52" s="21" t="s">
        <v>101</v>
      </c>
      <c r="D52" s="35">
        <f>1</f>
        <v>1</v>
      </c>
      <c r="E52" s="34"/>
      <c r="F52" s="34"/>
      <c r="G52" s="34"/>
      <c r="H52" s="34"/>
      <c r="I52" s="36">
        <f t="shared" ca="1" si="20"/>
        <v>0</v>
      </c>
      <c r="J52" s="35">
        <f>1</f>
        <v>1</v>
      </c>
      <c r="K52" s="34"/>
      <c r="L52" s="34"/>
      <c r="M52" s="34"/>
      <c r="N52" s="34"/>
      <c r="O52" s="36">
        <f t="shared" ca="1" si="21"/>
        <v>0</v>
      </c>
      <c r="P52" s="35">
        <f>1</f>
        <v>1</v>
      </c>
      <c r="Q52" s="34"/>
      <c r="R52" s="34"/>
      <c r="S52" s="34"/>
      <c r="T52" s="34"/>
      <c r="U52" s="36">
        <f t="shared" ca="1" si="22"/>
        <v>0</v>
      </c>
      <c r="V52" s="35">
        <f>1</f>
        <v>1</v>
      </c>
      <c r="W52" s="34"/>
      <c r="X52" s="34"/>
      <c r="Y52" s="34"/>
      <c r="Z52" s="34"/>
      <c r="AA52" s="36">
        <f t="shared" ca="1" si="23"/>
        <v>2</v>
      </c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</row>
    <row r="53" spans="2:121" x14ac:dyDescent="0.25">
      <c r="B53" s="21" t="s">
        <v>6</v>
      </c>
      <c r="C53" s="21"/>
      <c r="D53" s="35">
        <f>1</f>
        <v>1</v>
      </c>
      <c r="E53" s="34"/>
      <c r="F53" s="34"/>
      <c r="G53" s="34"/>
      <c r="H53" s="34"/>
      <c r="I53" s="36">
        <f t="shared" ca="1" si="20"/>
        <v>0</v>
      </c>
      <c r="J53" s="35">
        <f>1</f>
        <v>1</v>
      </c>
      <c r="K53" s="34"/>
      <c r="L53" s="34"/>
      <c r="M53" s="34"/>
      <c r="N53" s="34"/>
      <c r="O53" s="36">
        <f t="shared" ca="1" si="21"/>
        <v>0</v>
      </c>
      <c r="P53" s="35">
        <f>1</f>
        <v>1</v>
      </c>
      <c r="Q53" s="34"/>
      <c r="R53" s="34"/>
      <c r="S53" s="34"/>
      <c r="T53" s="34"/>
      <c r="U53" s="36">
        <f t="shared" ca="1" si="22"/>
        <v>0</v>
      </c>
      <c r="V53" s="35">
        <f>1</f>
        <v>1</v>
      </c>
      <c r="W53" s="34"/>
      <c r="X53" s="34"/>
      <c r="Y53" s="34"/>
      <c r="Z53" s="34"/>
      <c r="AA53" s="36">
        <f t="shared" ca="1" si="23"/>
        <v>2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</row>
    <row r="54" spans="2:121" x14ac:dyDescent="0.25">
      <c r="B54" s="21" t="s">
        <v>6</v>
      </c>
      <c r="C54" s="21"/>
      <c r="D54" s="35">
        <f>1</f>
        <v>1</v>
      </c>
      <c r="E54" s="34"/>
      <c r="F54" s="34"/>
      <c r="G54" s="34"/>
      <c r="H54" s="34"/>
      <c r="I54" s="36">
        <f t="shared" ca="1" si="20"/>
        <v>0</v>
      </c>
      <c r="J54" s="35">
        <f>1</f>
        <v>1</v>
      </c>
      <c r="K54" s="34"/>
      <c r="L54" s="34"/>
      <c r="M54" s="34"/>
      <c r="N54" s="34"/>
      <c r="O54" s="36">
        <f t="shared" ca="1" si="21"/>
        <v>0</v>
      </c>
      <c r="P54" s="35">
        <f>1</f>
        <v>1</v>
      </c>
      <c r="Q54" s="34"/>
      <c r="R54" s="34"/>
      <c r="S54" s="34"/>
      <c r="T54" s="34"/>
      <c r="U54" s="36">
        <f t="shared" ca="1" si="22"/>
        <v>0</v>
      </c>
      <c r="V54" s="35">
        <f>1</f>
        <v>1</v>
      </c>
      <c r="W54" s="34"/>
      <c r="X54" s="34"/>
      <c r="Y54" s="34"/>
      <c r="Z54" s="34"/>
      <c r="AA54" s="36">
        <f t="shared" ca="1" si="23"/>
        <v>2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</row>
    <row r="55" spans="2:121" x14ac:dyDescent="0.25">
      <c r="B55" s="21" t="s">
        <v>6</v>
      </c>
      <c r="C55" s="21"/>
      <c r="D55" s="35">
        <f>1</f>
        <v>1</v>
      </c>
      <c r="E55" s="34"/>
      <c r="F55" s="34"/>
      <c r="G55" s="34"/>
      <c r="H55" s="34"/>
      <c r="I55" s="36">
        <f t="shared" ca="1" si="20"/>
        <v>0</v>
      </c>
      <c r="J55" s="35">
        <f>1</f>
        <v>1</v>
      </c>
      <c r="K55" s="34"/>
      <c r="L55" s="34"/>
      <c r="M55" s="34"/>
      <c r="N55" s="34"/>
      <c r="O55" s="36">
        <f t="shared" ca="1" si="21"/>
        <v>0</v>
      </c>
      <c r="P55" s="35">
        <f>1</f>
        <v>1</v>
      </c>
      <c r="Q55" s="34"/>
      <c r="R55" s="34"/>
      <c r="S55" s="34"/>
      <c r="T55" s="34"/>
      <c r="U55" s="36">
        <f t="shared" ca="1" si="22"/>
        <v>0</v>
      </c>
      <c r="V55" s="35">
        <f>1</f>
        <v>1</v>
      </c>
      <c r="W55" s="34"/>
      <c r="X55" s="34"/>
      <c r="Y55" s="34"/>
      <c r="Z55" s="34"/>
      <c r="AA55" s="36">
        <f t="shared" ca="1" si="23"/>
        <v>0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</row>
    <row r="56" spans="2:121" x14ac:dyDescent="0.25">
      <c r="B56" s="21" t="s">
        <v>6</v>
      </c>
      <c r="C56" s="21" t="s">
        <v>101</v>
      </c>
      <c r="D56" s="35">
        <f>1</f>
        <v>1</v>
      </c>
      <c r="E56" s="34"/>
      <c r="F56" s="34"/>
      <c r="G56" s="34"/>
      <c r="H56" s="34"/>
      <c r="I56" s="36">
        <f t="shared" ca="1" si="20"/>
        <v>0</v>
      </c>
      <c r="J56" s="35">
        <f>1</f>
        <v>1</v>
      </c>
      <c r="K56" s="34"/>
      <c r="L56" s="34"/>
      <c r="M56" s="34"/>
      <c r="N56" s="34"/>
      <c r="O56" s="36">
        <f t="shared" ca="1" si="21"/>
        <v>0</v>
      </c>
      <c r="P56" s="35">
        <f>1</f>
        <v>1</v>
      </c>
      <c r="Q56" s="34"/>
      <c r="R56" s="34"/>
      <c r="S56" s="34"/>
      <c r="T56" s="34"/>
      <c r="U56" s="36">
        <f t="shared" ca="1" si="22"/>
        <v>0</v>
      </c>
      <c r="V56" s="35">
        <f>1</f>
        <v>1</v>
      </c>
      <c r="W56" s="34"/>
      <c r="X56" s="34"/>
      <c r="Y56" s="34"/>
      <c r="Z56" s="34"/>
      <c r="AA56" s="36">
        <f t="shared" ca="1" si="23"/>
        <v>0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</row>
    <row r="57" spans="2:121" x14ac:dyDescent="0.25">
      <c r="B57" s="20" t="s">
        <v>101</v>
      </c>
      <c r="C57" s="20" t="s">
        <v>101</v>
      </c>
      <c r="D57" s="26">
        <f t="shared" ref="D57:AA57" si="24">IFERROR(D43/D15,0)</f>
        <v>1</v>
      </c>
      <c r="E57" s="27">
        <f t="shared" si="24"/>
        <v>0</v>
      </c>
      <c r="F57" s="27">
        <f t="shared" si="24"/>
        <v>0</v>
      </c>
      <c r="G57" s="27">
        <f t="shared" si="24"/>
        <v>0</v>
      </c>
      <c r="H57" s="27">
        <f t="shared" si="24"/>
        <v>0</v>
      </c>
      <c r="I57" s="23">
        <f t="shared" ca="1" si="24"/>
        <v>0</v>
      </c>
      <c r="J57" s="22">
        <f t="shared" si="24"/>
        <v>1</v>
      </c>
      <c r="K57" s="27">
        <f t="shared" si="24"/>
        <v>0</v>
      </c>
      <c r="L57" s="27">
        <f t="shared" si="24"/>
        <v>0</v>
      </c>
      <c r="M57" s="27">
        <f t="shared" si="24"/>
        <v>0</v>
      </c>
      <c r="N57" s="27">
        <f t="shared" si="24"/>
        <v>0</v>
      </c>
      <c r="O57" s="23">
        <f t="shared" ca="1" si="24"/>
        <v>0</v>
      </c>
      <c r="P57" s="22">
        <f t="shared" si="24"/>
        <v>1</v>
      </c>
      <c r="Q57" s="27">
        <f t="shared" si="24"/>
        <v>0</v>
      </c>
      <c r="R57" s="27">
        <f t="shared" si="24"/>
        <v>0</v>
      </c>
      <c r="S57" s="27">
        <f t="shared" si="24"/>
        <v>0</v>
      </c>
      <c r="T57" s="27">
        <f t="shared" si="24"/>
        <v>0</v>
      </c>
      <c r="U57" s="23">
        <f t="shared" ca="1" si="24"/>
        <v>0</v>
      </c>
      <c r="V57" s="22">
        <f t="shared" si="24"/>
        <v>1</v>
      </c>
      <c r="W57" s="27">
        <f t="shared" si="24"/>
        <v>2</v>
      </c>
      <c r="X57" s="27">
        <f t="shared" si="24"/>
        <v>2</v>
      </c>
      <c r="Y57" s="27">
        <f t="shared" si="24"/>
        <v>0</v>
      </c>
      <c r="Z57" s="27">
        <f t="shared" si="24"/>
        <v>0</v>
      </c>
      <c r="AA57" s="41">
        <f t="shared" ca="1" si="24"/>
        <v>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</row>
    <row r="58" spans="2:121" outlineLevel="1" x14ac:dyDescent="0.25">
      <c r="B58" s="21" t="s">
        <v>101</v>
      </c>
      <c r="C58" s="21"/>
      <c r="D58" s="31">
        <f t="shared" ref="D58:AA58" si="25">IFERROR(D44/D16,0)</f>
        <v>2</v>
      </c>
      <c r="E58" s="15">
        <f t="shared" si="25"/>
        <v>0</v>
      </c>
      <c r="F58" s="15">
        <f t="shared" si="25"/>
        <v>0</v>
      </c>
      <c r="G58" s="15">
        <f t="shared" si="25"/>
        <v>0</v>
      </c>
      <c r="H58" s="15">
        <f t="shared" si="25"/>
        <v>0</v>
      </c>
      <c r="I58" s="25">
        <f t="shared" ca="1" si="25"/>
        <v>0</v>
      </c>
      <c r="J58" s="31">
        <f t="shared" si="25"/>
        <v>2</v>
      </c>
      <c r="K58" s="15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25">
        <f t="shared" ca="1" si="25"/>
        <v>0</v>
      </c>
      <c r="P58" s="31">
        <f t="shared" si="25"/>
        <v>2</v>
      </c>
      <c r="Q58" s="15">
        <f t="shared" si="25"/>
        <v>0</v>
      </c>
      <c r="R58" s="15">
        <f t="shared" si="25"/>
        <v>0</v>
      </c>
      <c r="S58" s="15">
        <f t="shared" si="25"/>
        <v>0</v>
      </c>
      <c r="T58" s="15">
        <f t="shared" si="25"/>
        <v>0</v>
      </c>
      <c r="U58" s="25">
        <f t="shared" ca="1" si="25"/>
        <v>0</v>
      </c>
      <c r="V58" s="31">
        <f t="shared" si="25"/>
        <v>2</v>
      </c>
      <c r="W58" s="15">
        <f t="shared" si="25"/>
        <v>0</v>
      </c>
      <c r="X58" s="15">
        <f t="shared" si="25"/>
        <v>0</v>
      </c>
      <c r="Y58" s="15">
        <f t="shared" si="25"/>
        <v>0</v>
      </c>
      <c r="Z58" s="15">
        <f t="shared" si="25"/>
        <v>0</v>
      </c>
      <c r="AA58" s="25">
        <f t="shared" ca="1" si="25"/>
        <v>0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</row>
    <row r="59" spans="2:121" outlineLevel="1" x14ac:dyDescent="0.25">
      <c r="B59" s="21" t="s">
        <v>101</v>
      </c>
      <c r="C59" s="21"/>
      <c r="D59" s="31">
        <f t="shared" ref="D59:AA59" si="26">IFERROR(D45/D17,0)</f>
        <v>2</v>
      </c>
      <c r="E59" s="15">
        <f t="shared" si="26"/>
        <v>0</v>
      </c>
      <c r="F59" s="15">
        <f t="shared" si="26"/>
        <v>0</v>
      </c>
      <c r="G59" s="15">
        <f t="shared" si="26"/>
        <v>0</v>
      </c>
      <c r="H59" s="15">
        <f t="shared" si="26"/>
        <v>0</v>
      </c>
      <c r="I59" s="25">
        <f t="shared" ca="1" si="26"/>
        <v>0</v>
      </c>
      <c r="J59" s="31">
        <f t="shared" si="26"/>
        <v>2</v>
      </c>
      <c r="K59" s="15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25">
        <f t="shared" ca="1" si="26"/>
        <v>0</v>
      </c>
      <c r="P59" s="31">
        <f t="shared" si="26"/>
        <v>2</v>
      </c>
      <c r="Q59" s="15">
        <f t="shared" si="26"/>
        <v>0</v>
      </c>
      <c r="R59" s="15">
        <f t="shared" si="26"/>
        <v>0</v>
      </c>
      <c r="S59" s="15">
        <f t="shared" si="26"/>
        <v>0</v>
      </c>
      <c r="T59" s="15">
        <f t="shared" si="26"/>
        <v>0</v>
      </c>
      <c r="U59" s="25">
        <f t="shared" ca="1" si="26"/>
        <v>0</v>
      </c>
      <c r="V59" s="31">
        <f t="shared" si="26"/>
        <v>2</v>
      </c>
      <c r="W59" s="15">
        <f t="shared" si="26"/>
        <v>0</v>
      </c>
      <c r="X59" s="15">
        <f t="shared" si="26"/>
        <v>2</v>
      </c>
      <c r="Y59" s="15">
        <f t="shared" si="26"/>
        <v>0</v>
      </c>
      <c r="Z59" s="15">
        <f t="shared" si="26"/>
        <v>0</v>
      </c>
      <c r="AA59" s="25">
        <f t="shared" ca="1" si="26"/>
        <v>2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</row>
    <row r="60" spans="2:121" outlineLevel="1" x14ac:dyDescent="0.25">
      <c r="B60" s="21" t="s">
        <v>101</v>
      </c>
      <c r="C60" s="21"/>
      <c r="D60" s="31">
        <f t="shared" ref="D60:AA60" si="27">IFERROR(D46/D18,0)</f>
        <v>2</v>
      </c>
      <c r="E60" s="15">
        <f t="shared" si="27"/>
        <v>0</v>
      </c>
      <c r="F60" s="15">
        <f t="shared" si="27"/>
        <v>0</v>
      </c>
      <c r="G60" s="15">
        <f t="shared" si="27"/>
        <v>0</v>
      </c>
      <c r="H60" s="15">
        <f t="shared" si="27"/>
        <v>0</v>
      </c>
      <c r="I60" s="25">
        <f t="shared" ca="1" si="27"/>
        <v>0</v>
      </c>
      <c r="J60" s="31">
        <f t="shared" si="27"/>
        <v>2</v>
      </c>
      <c r="K60" s="15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25">
        <f t="shared" ca="1" si="27"/>
        <v>0</v>
      </c>
      <c r="P60" s="31">
        <f t="shared" si="27"/>
        <v>2</v>
      </c>
      <c r="Q60" s="15">
        <f t="shared" si="27"/>
        <v>0</v>
      </c>
      <c r="R60" s="15">
        <f t="shared" si="27"/>
        <v>0</v>
      </c>
      <c r="S60" s="15">
        <f t="shared" si="27"/>
        <v>0</v>
      </c>
      <c r="T60" s="15">
        <f t="shared" si="27"/>
        <v>0</v>
      </c>
      <c r="U60" s="25">
        <f t="shared" ca="1" si="27"/>
        <v>0</v>
      </c>
      <c r="V60" s="31">
        <f t="shared" si="27"/>
        <v>2</v>
      </c>
      <c r="W60" s="15">
        <f t="shared" si="27"/>
        <v>2</v>
      </c>
      <c r="X60" s="15">
        <f t="shared" si="27"/>
        <v>0</v>
      </c>
      <c r="Y60" s="15">
        <f t="shared" si="27"/>
        <v>0</v>
      </c>
      <c r="Z60" s="15">
        <f t="shared" si="27"/>
        <v>0</v>
      </c>
      <c r="AA60" s="25">
        <f t="shared" ca="1" si="27"/>
        <v>2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</row>
    <row r="61" spans="2:121" outlineLevel="1" x14ac:dyDescent="0.25">
      <c r="B61" s="21" t="s">
        <v>101</v>
      </c>
      <c r="C61" s="21"/>
      <c r="D61" s="31">
        <f t="shared" ref="D61:AA61" si="28">IFERROR(D47/D19,0)</f>
        <v>2</v>
      </c>
      <c r="E61" s="15">
        <f t="shared" si="28"/>
        <v>0</v>
      </c>
      <c r="F61" s="15">
        <f t="shared" si="28"/>
        <v>0</v>
      </c>
      <c r="G61" s="15">
        <f t="shared" si="28"/>
        <v>0</v>
      </c>
      <c r="H61" s="15">
        <f t="shared" si="28"/>
        <v>0</v>
      </c>
      <c r="I61" s="25">
        <f t="shared" ca="1" si="28"/>
        <v>0</v>
      </c>
      <c r="J61" s="31">
        <f t="shared" si="28"/>
        <v>2</v>
      </c>
      <c r="K61" s="15">
        <f t="shared" si="28"/>
        <v>0</v>
      </c>
      <c r="L61" s="15">
        <f t="shared" si="28"/>
        <v>0</v>
      </c>
      <c r="M61" s="15">
        <f t="shared" si="28"/>
        <v>0</v>
      </c>
      <c r="N61" s="15">
        <f t="shared" si="28"/>
        <v>0</v>
      </c>
      <c r="O61" s="25">
        <f t="shared" ca="1" si="28"/>
        <v>0</v>
      </c>
      <c r="P61" s="31">
        <f t="shared" si="28"/>
        <v>2</v>
      </c>
      <c r="Q61" s="15">
        <f t="shared" si="28"/>
        <v>0</v>
      </c>
      <c r="R61" s="15">
        <f t="shared" si="28"/>
        <v>0</v>
      </c>
      <c r="S61" s="15">
        <f t="shared" si="28"/>
        <v>0</v>
      </c>
      <c r="T61" s="15">
        <f t="shared" si="28"/>
        <v>0</v>
      </c>
      <c r="U61" s="25">
        <f t="shared" ca="1" si="28"/>
        <v>0</v>
      </c>
      <c r="V61" s="31">
        <f t="shared" si="28"/>
        <v>2</v>
      </c>
      <c r="W61" s="15">
        <f t="shared" si="28"/>
        <v>2</v>
      </c>
      <c r="X61" s="15">
        <f t="shared" si="28"/>
        <v>0</v>
      </c>
      <c r="Y61" s="15">
        <f t="shared" si="28"/>
        <v>0</v>
      </c>
      <c r="Z61" s="15">
        <f t="shared" si="28"/>
        <v>0</v>
      </c>
      <c r="AA61" s="25">
        <f t="shared" ca="1" si="28"/>
        <v>2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</row>
    <row r="62" spans="2:121" outlineLevel="1" x14ac:dyDescent="0.25">
      <c r="B62" s="21" t="s">
        <v>101</v>
      </c>
      <c r="C62" s="21" t="s">
        <v>101</v>
      </c>
      <c r="D62" s="31">
        <f t="shared" ref="D62:AA62" si="29">IFERROR(D48/D20,0)</f>
        <v>2</v>
      </c>
      <c r="E62" s="15">
        <f t="shared" si="29"/>
        <v>0</v>
      </c>
      <c r="F62" s="15">
        <f t="shared" si="29"/>
        <v>0</v>
      </c>
      <c r="G62" s="15">
        <f t="shared" si="29"/>
        <v>0</v>
      </c>
      <c r="H62" s="15">
        <f t="shared" si="29"/>
        <v>0</v>
      </c>
      <c r="I62" s="25">
        <f t="shared" ca="1" si="29"/>
        <v>0</v>
      </c>
      <c r="J62" s="31">
        <f t="shared" si="29"/>
        <v>2</v>
      </c>
      <c r="K62" s="15">
        <f t="shared" si="29"/>
        <v>0</v>
      </c>
      <c r="L62" s="15">
        <f t="shared" si="29"/>
        <v>0</v>
      </c>
      <c r="M62" s="15">
        <f t="shared" si="29"/>
        <v>0</v>
      </c>
      <c r="N62" s="15">
        <f t="shared" si="29"/>
        <v>0</v>
      </c>
      <c r="O62" s="25">
        <f t="shared" ca="1" si="29"/>
        <v>0</v>
      </c>
      <c r="P62" s="31">
        <f t="shared" si="29"/>
        <v>2</v>
      </c>
      <c r="Q62" s="15">
        <f t="shared" si="29"/>
        <v>0</v>
      </c>
      <c r="R62" s="15">
        <f t="shared" si="29"/>
        <v>0</v>
      </c>
      <c r="S62" s="15">
        <f t="shared" si="29"/>
        <v>0</v>
      </c>
      <c r="T62" s="15">
        <f t="shared" si="29"/>
        <v>0</v>
      </c>
      <c r="U62" s="25">
        <f t="shared" ca="1" si="29"/>
        <v>0</v>
      </c>
      <c r="V62" s="31">
        <f t="shared" si="29"/>
        <v>2</v>
      </c>
      <c r="W62" s="15">
        <f t="shared" si="29"/>
        <v>0</v>
      </c>
      <c r="X62" s="15">
        <f t="shared" si="29"/>
        <v>0</v>
      </c>
      <c r="Y62" s="15">
        <f t="shared" si="29"/>
        <v>0</v>
      </c>
      <c r="Z62" s="15">
        <f t="shared" si="29"/>
        <v>0</v>
      </c>
      <c r="AA62" s="25">
        <f t="shared" ca="1" si="29"/>
        <v>0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</row>
    <row r="63" spans="2:121" outlineLevel="1" x14ac:dyDescent="0.25">
      <c r="B63" s="21" t="s">
        <v>101</v>
      </c>
      <c r="C63" s="21" t="s">
        <v>101</v>
      </c>
      <c r="D63" s="31">
        <f t="shared" ref="D63:AA63" si="30">IFERROR(D49/D21,0)</f>
        <v>2</v>
      </c>
      <c r="E63" s="15">
        <f t="shared" si="30"/>
        <v>0</v>
      </c>
      <c r="F63" s="15">
        <f t="shared" si="30"/>
        <v>0</v>
      </c>
      <c r="G63" s="15">
        <f t="shared" si="30"/>
        <v>0</v>
      </c>
      <c r="H63" s="15">
        <f t="shared" si="30"/>
        <v>0</v>
      </c>
      <c r="I63" s="25">
        <f t="shared" ca="1" si="30"/>
        <v>0</v>
      </c>
      <c r="J63" s="31">
        <f t="shared" si="30"/>
        <v>2</v>
      </c>
      <c r="K63" s="15">
        <f t="shared" si="30"/>
        <v>0</v>
      </c>
      <c r="L63" s="15">
        <f t="shared" si="30"/>
        <v>0</v>
      </c>
      <c r="M63" s="15">
        <f t="shared" si="30"/>
        <v>0</v>
      </c>
      <c r="N63" s="15">
        <f t="shared" si="30"/>
        <v>0</v>
      </c>
      <c r="O63" s="25">
        <f t="shared" ca="1" si="30"/>
        <v>0</v>
      </c>
      <c r="P63" s="31">
        <f t="shared" si="30"/>
        <v>2</v>
      </c>
      <c r="Q63" s="15">
        <f t="shared" si="30"/>
        <v>0</v>
      </c>
      <c r="R63" s="15">
        <f t="shared" si="30"/>
        <v>0</v>
      </c>
      <c r="S63" s="15">
        <f t="shared" si="30"/>
        <v>0</v>
      </c>
      <c r="T63" s="15">
        <f t="shared" si="30"/>
        <v>0</v>
      </c>
      <c r="U63" s="25">
        <f t="shared" ca="1" si="30"/>
        <v>0</v>
      </c>
      <c r="V63" s="31">
        <f t="shared" si="30"/>
        <v>2</v>
      </c>
      <c r="W63" s="15">
        <f t="shared" si="30"/>
        <v>0</v>
      </c>
      <c r="X63" s="15">
        <f t="shared" si="30"/>
        <v>0</v>
      </c>
      <c r="Y63" s="15">
        <f t="shared" si="30"/>
        <v>0</v>
      </c>
      <c r="Z63" s="15">
        <f t="shared" si="30"/>
        <v>0</v>
      </c>
      <c r="AA63" s="25">
        <f t="shared" ca="1" si="30"/>
        <v>0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</row>
    <row r="64" spans="2:121" x14ac:dyDescent="0.25">
      <c r="B64" s="37" t="s">
        <v>7</v>
      </c>
      <c r="C64" s="37"/>
      <c r="D64" s="29">
        <f>1</f>
        <v>1</v>
      </c>
      <c r="E64" s="16"/>
      <c r="F64" s="16"/>
      <c r="G64" s="16"/>
      <c r="H64" s="16"/>
      <c r="I64" s="28">
        <f ca="1">IFERROR(IF(INDIRECT(ADDRESS(ROW(),COLUMN()-7))="SA_0001",INDIRECT(ADDRESS(ROW()-7,COLUMN()))/INDIRECT(ADDRESS(ROW()-35,COLUMN())),SUM(E64:H64)),0)</f>
        <v>0</v>
      </c>
      <c r="J64" s="29">
        <f>1</f>
        <v>1</v>
      </c>
      <c r="K64" s="16"/>
      <c r="L64" s="16"/>
      <c r="M64" s="16"/>
      <c r="N64" s="16"/>
      <c r="O64" s="28">
        <f ca="1">IFERROR(IF(INDIRECT(ADDRESS(ROW(),COLUMN()-13))="SA_0001",INDIRECT(ADDRESS(ROW()-7,COLUMN()))/INDIRECT(ADDRESS(ROW()-35,COLUMN())),SUM(K64:N64)),0)</f>
        <v>0</v>
      </c>
      <c r="P64" s="29">
        <f>1</f>
        <v>1</v>
      </c>
      <c r="Q64" s="16"/>
      <c r="R64" s="16"/>
      <c r="S64" s="16"/>
      <c r="T64" s="16"/>
      <c r="U64" s="28">
        <f ca="1">IFERROR(IF(INDIRECT(ADDRESS(ROW(),COLUMN()-19))="SA_0001",INDIRECT(ADDRESS(ROW()-7,COLUMN()))/INDIRECT(ADDRESS(ROW()-35,COLUMN())),SUM(Q64:T64)),0)</f>
        <v>0</v>
      </c>
      <c r="V64" s="29">
        <f>1</f>
        <v>1</v>
      </c>
      <c r="W64" s="16"/>
      <c r="X64" s="16"/>
      <c r="Y64" s="16"/>
      <c r="Z64" s="16"/>
      <c r="AA64" s="28">
        <f ca="1">IFERROR(IF(INDIRECT(ADDRESS(ROW(),COLUMN()-25))="SA_0001",INDIRECT(ADDRESS(ROW()-7,COLUMN()))/INDIRECT(ADDRESS(ROW()-35,COLUMN())),SUM(W64:Z64)),0)</f>
        <v>0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</row>
    <row r="65" spans="2:121" x14ac:dyDescent="0.25">
      <c r="B65" s="18" t="s">
        <v>101</v>
      </c>
      <c r="C65" s="18"/>
      <c r="D65" s="32">
        <f t="shared" ref="D65:AA65" si="31">SUM(D43,D64)</f>
        <v>2</v>
      </c>
      <c r="E65" s="17">
        <f t="shared" si="31"/>
        <v>0</v>
      </c>
      <c r="F65" s="17">
        <f t="shared" si="31"/>
        <v>0</v>
      </c>
      <c r="G65" s="17">
        <f t="shared" si="31"/>
        <v>0</v>
      </c>
      <c r="H65" s="17">
        <f t="shared" si="31"/>
        <v>0</v>
      </c>
      <c r="I65" s="33">
        <f t="shared" ca="1" si="31"/>
        <v>0</v>
      </c>
      <c r="J65" s="32">
        <f t="shared" si="31"/>
        <v>2</v>
      </c>
      <c r="K65" s="17">
        <f t="shared" si="31"/>
        <v>0</v>
      </c>
      <c r="L65" s="17">
        <f t="shared" si="31"/>
        <v>0</v>
      </c>
      <c r="M65" s="17">
        <f t="shared" si="31"/>
        <v>0</v>
      </c>
      <c r="N65" s="17">
        <f t="shared" si="31"/>
        <v>0</v>
      </c>
      <c r="O65" s="33">
        <f t="shared" ca="1" si="31"/>
        <v>0</v>
      </c>
      <c r="P65" s="32">
        <f t="shared" si="31"/>
        <v>2</v>
      </c>
      <c r="Q65" s="17">
        <f t="shared" si="31"/>
        <v>0</v>
      </c>
      <c r="R65" s="17">
        <f t="shared" si="31"/>
        <v>0</v>
      </c>
      <c r="S65" s="17">
        <f t="shared" si="31"/>
        <v>0</v>
      </c>
      <c r="T65" s="17">
        <f t="shared" si="31"/>
        <v>0</v>
      </c>
      <c r="U65" s="33">
        <f t="shared" ca="1" si="31"/>
        <v>0</v>
      </c>
      <c r="V65" s="32">
        <f t="shared" si="31"/>
        <v>2</v>
      </c>
      <c r="W65" s="17">
        <f t="shared" si="31"/>
        <v>4</v>
      </c>
      <c r="X65" s="17">
        <f t="shared" si="31"/>
        <v>2</v>
      </c>
      <c r="Y65" s="17">
        <f t="shared" si="31"/>
        <v>0</v>
      </c>
      <c r="Z65" s="17">
        <f t="shared" si="31"/>
        <v>0</v>
      </c>
      <c r="AA65" s="33">
        <f t="shared" ca="1" si="31"/>
        <v>6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</row>
    <row r="66" spans="2:121" x14ac:dyDescent="0.25">
      <c r="B66" s="38" t="s">
        <v>101</v>
      </c>
      <c r="C66" s="38"/>
      <c r="D66" s="39">
        <f t="shared" ref="D66:AA66" si="32">IFERROR(D65/D15,0)</f>
        <v>2</v>
      </c>
      <c r="E66" s="13">
        <f t="shared" si="32"/>
        <v>0</v>
      </c>
      <c r="F66" s="13">
        <f t="shared" si="32"/>
        <v>0</v>
      </c>
      <c r="G66" s="13">
        <f t="shared" si="32"/>
        <v>0</v>
      </c>
      <c r="H66" s="13">
        <f t="shared" si="32"/>
        <v>0</v>
      </c>
      <c r="I66" s="40">
        <f t="shared" ca="1" si="32"/>
        <v>0</v>
      </c>
      <c r="J66" s="39">
        <f t="shared" si="32"/>
        <v>2</v>
      </c>
      <c r="K66" s="13">
        <f t="shared" si="32"/>
        <v>0</v>
      </c>
      <c r="L66" s="13">
        <f t="shared" si="32"/>
        <v>0</v>
      </c>
      <c r="M66" s="13">
        <f t="shared" si="32"/>
        <v>0</v>
      </c>
      <c r="N66" s="13">
        <f t="shared" si="32"/>
        <v>0</v>
      </c>
      <c r="O66" s="40">
        <f t="shared" ca="1" si="32"/>
        <v>0</v>
      </c>
      <c r="P66" s="39">
        <f t="shared" si="32"/>
        <v>2</v>
      </c>
      <c r="Q66" s="13">
        <f t="shared" si="32"/>
        <v>0</v>
      </c>
      <c r="R66" s="13">
        <f t="shared" si="32"/>
        <v>0</v>
      </c>
      <c r="S66" s="13">
        <f t="shared" si="32"/>
        <v>0</v>
      </c>
      <c r="T66" s="13">
        <f t="shared" si="32"/>
        <v>0</v>
      </c>
      <c r="U66" s="40">
        <f t="shared" ca="1" si="32"/>
        <v>0</v>
      </c>
      <c r="V66" s="39">
        <f t="shared" si="32"/>
        <v>2</v>
      </c>
      <c r="W66" s="13">
        <f t="shared" si="32"/>
        <v>2</v>
      </c>
      <c r="X66" s="13">
        <f t="shared" si="32"/>
        <v>2</v>
      </c>
      <c r="Y66" s="13">
        <f t="shared" si="32"/>
        <v>0</v>
      </c>
      <c r="Z66" s="13">
        <f t="shared" si="32"/>
        <v>0</v>
      </c>
      <c r="AA66" s="40">
        <f t="shared" ca="1" si="32"/>
        <v>2</v>
      </c>
      <c r="AB66" s="4"/>
      <c r="AC66" s="4"/>
      <c r="AD66" s="4"/>
      <c r="AE66" s="4"/>
      <c r="AF66" s="4"/>
      <c r="AG66" s="4"/>
      <c r="AH66" s="4"/>
      <c r="AI66" s="4"/>
      <c r="AJ66" s="4"/>
    </row>
    <row r="67" spans="2:121" x14ac:dyDescent="0.25">
      <c r="B67" s="5"/>
      <c r="C67" s="5"/>
      <c r="D67" s="5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</row>
    <row r="68" spans="2:121" x14ac:dyDescent="0.25">
      <c r="B68" s="5"/>
      <c r="C68" s="5"/>
      <c r="D68" s="5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</row>
    <row r="69" spans="2:121" x14ac:dyDescent="0.25">
      <c r="B69" s="5"/>
      <c r="C69" s="5"/>
      <c r="D69" s="5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</row>
    <row r="70" spans="2:121" x14ac:dyDescent="0.25">
      <c r="B70" s="5"/>
      <c r="C70" s="5"/>
      <c r="D70" s="5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</sheetData>
  <mergeCells count="4">
    <mergeCell ref="E4:O4"/>
    <mergeCell ref="E6:O6"/>
    <mergeCell ref="E8:O8"/>
    <mergeCell ref="C2:U2"/>
  </mergeCells>
  <conditionalFormatting sqref="D10:D27">
    <cfRule type="expression" dxfId="41" priority="29">
      <formula>D10&lt;&gt;""</formula>
    </cfRule>
  </conditionalFormatting>
  <conditionalFormatting sqref="D31:D55">
    <cfRule type="expression" dxfId="40" priority="28">
      <formula>D31&lt;&gt;""</formula>
    </cfRule>
  </conditionalFormatting>
  <conditionalFormatting sqref="J10:J27">
    <cfRule type="expression" dxfId="39" priority="26">
      <formula>J10&lt;&gt;""</formula>
    </cfRule>
  </conditionalFormatting>
  <conditionalFormatting sqref="J59:J66">
    <cfRule type="expression" dxfId="38" priority="24">
      <formula>J59&lt;&gt;""</formula>
    </cfRule>
  </conditionalFormatting>
  <conditionalFormatting sqref="P10:P27">
    <cfRule type="expression" dxfId="37" priority="23">
      <formula>P10&lt;&gt;""</formula>
    </cfRule>
  </conditionalFormatting>
  <conditionalFormatting sqref="P31:P55">
    <cfRule type="expression" dxfId="36" priority="22">
      <formula>P31&lt;&gt;""</formula>
    </cfRule>
  </conditionalFormatting>
  <conditionalFormatting sqref="P59:P66">
    <cfRule type="expression" dxfId="35" priority="21">
      <formula>P59&lt;&gt;""</formula>
    </cfRule>
  </conditionalFormatting>
  <conditionalFormatting sqref="V10:V27">
    <cfRule type="expression" dxfId="34" priority="20">
      <formula>V10&lt;&gt;""</formula>
    </cfRule>
  </conditionalFormatting>
  <conditionalFormatting sqref="V31:V55">
    <cfRule type="expression" dxfId="33" priority="19">
      <formula>V31&lt;&gt;""</formula>
    </cfRule>
  </conditionalFormatting>
  <conditionalFormatting sqref="V59:V66">
    <cfRule type="expression" dxfId="32" priority="18">
      <formula>V59&lt;&gt;""</formula>
    </cfRule>
  </conditionalFormatting>
  <conditionalFormatting sqref="D26">
    <cfRule type="expression" dxfId="31" priority="17">
      <formula>D26=6</formula>
    </cfRule>
  </conditionalFormatting>
  <conditionalFormatting sqref="J31:J55">
    <cfRule type="expression" dxfId="30" priority="14">
      <formula>J31&lt;&gt;""</formula>
    </cfRule>
  </conditionalFormatting>
  <conditionalFormatting sqref="D59:D66">
    <cfRule type="expression" dxfId="29" priority="9">
      <formula>D59&lt;&gt;""</formula>
    </cfRule>
  </conditionalFormatting>
  <conditionalFormatting sqref="D57">
    <cfRule type="expression" dxfId="28" priority="8">
      <formula>D57&lt;&gt;""</formula>
    </cfRule>
  </conditionalFormatting>
  <conditionalFormatting sqref="J29">
    <cfRule type="expression" dxfId="27" priority="7">
      <formula>J29&lt;&gt;""</formula>
    </cfRule>
  </conditionalFormatting>
  <conditionalFormatting sqref="P29">
    <cfRule type="expression" dxfId="26" priority="6">
      <formula>P29&lt;&gt;""</formula>
    </cfRule>
  </conditionalFormatting>
  <conditionalFormatting sqref="P57">
    <cfRule type="expression" dxfId="25" priority="5">
      <formula>P57&lt;&gt;""</formula>
    </cfRule>
  </conditionalFormatting>
  <conditionalFormatting sqref="J57">
    <cfRule type="expression" dxfId="24" priority="4">
      <formula>J57&lt;&gt;""</formula>
    </cfRule>
  </conditionalFormatting>
  <conditionalFormatting sqref="V57">
    <cfRule type="expression" dxfId="23" priority="3">
      <formula>V57&lt;&gt;""</formula>
    </cfRule>
  </conditionalFormatting>
  <conditionalFormatting sqref="V29">
    <cfRule type="expression" dxfId="22" priority="2">
      <formula>V29&lt;&gt;""</formula>
    </cfRule>
  </conditionalFormatting>
  <conditionalFormatting sqref="D29">
    <cfRule type="expression" dxfId="21" priority="1">
      <formula>D29&lt;&gt;""</formula>
    </cfRule>
  </conditionalFormatting>
  <pageMargins left="0.7" right="0.7" top="0.75" bottom="0.75" header="0.3" footer="0.3"/>
  <pageSetup paperSize="9" orientation="portrait" r:id="rId1"/>
  <customProperties>
    <customPr name="TGK_SHEET_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DQ70"/>
  <sheetViews>
    <sheetView showGridLines="0" topLeftCell="A2" workbookViewId="0">
      <selection activeCell="F14" sqref="F14"/>
    </sheetView>
  </sheetViews>
  <sheetFormatPr defaultRowHeight="15" outlineLevelRow="1" outlineLevelCol="1" x14ac:dyDescent="0.25"/>
  <cols>
    <col min="1" max="1" width="2.5703125" customWidth="1"/>
    <col min="2" max="2" width="4.5703125" hidden="1" customWidth="1"/>
    <col min="3" max="3" width="27" customWidth="1"/>
    <col min="4" max="4" width="1.140625" customWidth="1"/>
    <col min="5" max="9" width="9.42578125" customWidth="1"/>
    <col min="10" max="10" width="1.140625" customWidth="1"/>
    <col min="11" max="14" width="9.42578125" customWidth="1"/>
    <col min="15" max="15" width="9.85546875" customWidth="1"/>
    <col min="16" max="16" width="1.140625" customWidth="1"/>
    <col min="17" max="20" width="9.42578125" customWidth="1"/>
    <col min="21" max="21" width="9.85546875" customWidth="1"/>
    <col min="22" max="22" width="1.140625" customWidth="1"/>
    <col min="23" max="26" width="9.42578125" hidden="1" customWidth="1" outlineLevel="1"/>
    <col min="27" max="27" width="10.5703125" bestFit="1" customWidth="1" collapsed="1"/>
    <col min="28" max="30" width="10.42578125" bestFit="1" customWidth="1"/>
    <col min="31" max="31" width="10.5703125" bestFit="1" customWidth="1"/>
    <col min="32" max="32" width="10" bestFit="1" customWidth="1"/>
    <col min="33" max="33" width="10.140625" bestFit="1" customWidth="1"/>
    <col min="34" max="36" width="10.28515625" bestFit="1" customWidth="1"/>
    <col min="37" max="37" width="10.140625" bestFit="1" customWidth="1"/>
    <col min="38" max="38" width="10.42578125" bestFit="1" customWidth="1"/>
    <col min="39" max="42" width="10.28515625" bestFit="1" customWidth="1"/>
    <col min="43" max="43" width="10.42578125" bestFit="1" customWidth="1"/>
    <col min="44" max="44" width="10.140625" bestFit="1" customWidth="1"/>
    <col min="45" max="47" width="10.28515625" bestFit="1" customWidth="1"/>
    <col min="48" max="48" width="10.140625" bestFit="1" customWidth="1"/>
    <col min="49" max="49" width="10.42578125" bestFit="1" customWidth="1"/>
    <col min="50" max="50" width="10" bestFit="1" customWidth="1"/>
    <col min="51" max="53" width="10.140625" bestFit="1" customWidth="1"/>
    <col min="54" max="54" width="10" bestFit="1" customWidth="1"/>
    <col min="55" max="55" width="10.42578125" bestFit="1" customWidth="1"/>
    <col min="56" max="56" width="10" bestFit="1" customWidth="1"/>
    <col min="57" max="59" width="10.140625" bestFit="1" customWidth="1"/>
    <col min="60" max="60" width="10" bestFit="1" customWidth="1"/>
    <col min="61" max="61" width="10.42578125" bestFit="1" customWidth="1"/>
    <col min="62" max="64" width="10" bestFit="1" customWidth="1"/>
    <col min="65" max="65" width="10.28515625" bestFit="1" customWidth="1"/>
    <col min="67" max="74" width="10" bestFit="1" customWidth="1"/>
    <col min="75" max="75" width="10.28515625" bestFit="1" customWidth="1"/>
    <col min="77" max="80" width="10" bestFit="1" customWidth="1"/>
    <col min="81" max="81" width="10.28515625" bestFit="1" customWidth="1"/>
    <col min="83" max="86" width="10" bestFit="1" customWidth="1"/>
    <col min="87" max="87" width="10.28515625" bestFit="1" customWidth="1"/>
    <col min="89" max="92" width="10" bestFit="1" customWidth="1"/>
    <col min="93" max="93" width="10.28515625" bestFit="1" customWidth="1"/>
    <col min="95" max="102" width="10" bestFit="1" customWidth="1"/>
    <col min="103" max="103" width="10.28515625" bestFit="1" customWidth="1"/>
    <col min="105" max="108" width="10" bestFit="1" customWidth="1"/>
    <col min="109" max="109" width="10.28515625" bestFit="1" customWidth="1"/>
    <col min="111" max="114" width="10" bestFit="1" customWidth="1"/>
    <col min="115" max="115" width="10.28515625" bestFit="1" customWidth="1"/>
    <col min="117" max="120" width="10" bestFit="1" customWidth="1"/>
    <col min="121" max="121" width="10.28515625" bestFit="1" customWidth="1"/>
  </cols>
  <sheetData>
    <row r="1" spans="2:121" hidden="1" x14ac:dyDescent="0.25">
      <c r="C1" s="8" t="s">
        <v>126</v>
      </c>
    </row>
    <row r="2" spans="2:121" ht="20.25" customHeight="1" x14ac:dyDescent="0.25">
      <c r="C2" s="1" t="s">
        <v>2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10"/>
      <c r="W2" s="10"/>
      <c r="X2" s="10"/>
      <c r="Y2" s="10"/>
      <c r="Z2" s="10"/>
      <c r="AA2" s="11"/>
    </row>
    <row r="3" spans="2:121" ht="15" customHeight="1" x14ac:dyDescent="0.25"/>
    <row r="4" spans="2:121" ht="30.75" customHeight="1" outlineLevel="1" x14ac:dyDescent="0.25">
      <c r="C4" s="9" t="s">
        <v>0</v>
      </c>
      <c r="E4" s="3" t="s">
        <v>98</v>
      </c>
      <c r="F4" s="2"/>
      <c r="G4" s="2"/>
      <c r="H4" s="2"/>
      <c r="I4" s="2"/>
      <c r="J4" s="2"/>
      <c r="K4" s="2"/>
      <c r="L4" s="2"/>
      <c r="M4" s="2"/>
      <c r="N4" s="2"/>
      <c r="O4" s="2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2:121" ht="2.25" customHeight="1" outlineLevel="1" x14ac:dyDescent="0.25"/>
    <row r="6" spans="2:121" ht="31.5" customHeight="1" outlineLevel="1" x14ac:dyDescent="0.25">
      <c r="C6" s="9" t="s">
        <v>1</v>
      </c>
      <c r="E6" s="3" t="s">
        <v>100</v>
      </c>
      <c r="F6" s="2"/>
      <c r="G6" s="2"/>
      <c r="H6" s="2"/>
      <c r="I6" s="2"/>
      <c r="J6" s="2"/>
      <c r="K6" s="2"/>
      <c r="L6" s="2"/>
      <c r="M6" s="2"/>
      <c r="N6" s="2"/>
      <c r="O6" s="2"/>
    </row>
    <row r="7" spans="2:121" ht="2.25" customHeight="1" outlineLevel="1" x14ac:dyDescent="0.25">
      <c r="G7" s="6"/>
      <c r="H7" s="7"/>
      <c r="I7" s="7"/>
      <c r="J7" s="7"/>
      <c r="K7" s="7"/>
      <c r="L7" s="7"/>
      <c r="M7" s="7"/>
    </row>
    <row r="8" spans="2:121" ht="30.75" customHeight="1" outlineLevel="1" x14ac:dyDescent="0.25">
      <c r="C8" s="9" t="s">
        <v>8</v>
      </c>
      <c r="E8" s="3" t="s">
        <v>99</v>
      </c>
      <c r="F8" s="3"/>
      <c r="G8" s="3"/>
      <c r="H8" s="3"/>
      <c r="I8" s="3"/>
      <c r="J8" s="3"/>
      <c r="K8" s="3"/>
      <c r="L8" s="3"/>
      <c r="M8" s="3"/>
      <c r="N8" s="3"/>
      <c r="O8" s="3"/>
    </row>
    <row r="9" spans="2:121" x14ac:dyDescent="0.25">
      <c r="C9" s="12" t="s">
        <v>125</v>
      </c>
    </row>
    <row r="10" spans="2:121" x14ac:dyDescent="0.25">
      <c r="B10" s="8"/>
      <c r="C10" s="8"/>
      <c r="D10" s="14" t="s">
        <v>106</v>
      </c>
      <c r="E10" s="19" t="s">
        <v>104</v>
      </c>
      <c r="F10" s="19" t="s">
        <v>104</v>
      </c>
      <c r="G10" s="19" t="s">
        <v>104</v>
      </c>
      <c r="H10" s="19" t="s">
        <v>104</v>
      </c>
      <c r="I10" s="19" t="s">
        <v>113</v>
      </c>
      <c r="J10" s="14" t="s">
        <v>106</v>
      </c>
      <c r="K10" s="19" t="s">
        <v>106</v>
      </c>
      <c r="L10" s="19" t="s">
        <v>106</v>
      </c>
      <c r="M10" s="19" t="s">
        <v>106</v>
      </c>
      <c r="N10" s="19" t="s">
        <v>106</v>
      </c>
      <c r="O10" s="19" t="s">
        <v>113</v>
      </c>
      <c r="P10" s="14" t="s">
        <v>106</v>
      </c>
      <c r="Q10" s="19" t="s">
        <v>106</v>
      </c>
      <c r="R10" s="19" t="s">
        <v>106</v>
      </c>
      <c r="S10" s="19" t="s">
        <v>106</v>
      </c>
      <c r="T10" s="19" t="s">
        <v>106</v>
      </c>
      <c r="U10" s="19" t="s">
        <v>113</v>
      </c>
      <c r="V10" s="14" t="s">
        <v>106</v>
      </c>
      <c r="W10" s="19" t="s">
        <v>116</v>
      </c>
      <c r="X10" s="19" t="s">
        <v>116</v>
      </c>
      <c r="Y10" s="19" t="s">
        <v>116</v>
      </c>
      <c r="Z10" s="19" t="s">
        <v>116</v>
      </c>
      <c r="AA10" s="19" t="s">
        <v>108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</row>
    <row r="11" spans="2:121" x14ac:dyDescent="0.25">
      <c r="B11" s="8"/>
      <c r="C11" s="8"/>
      <c r="D11" s="14" t="s">
        <v>114</v>
      </c>
      <c r="E11" s="19" t="s">
        <v>119</v>
      </c>
      <c r="F11" s="19" t="s">
        <v>124</v>
      </c>
      <c r="G11" s="19" t="s">
        <v>122</v>
      </c>
      <c r="H11" s="19" t="s">
        <v>109</v>
      </c>
      <c r="I11" s="19" t="s">
        <v>105</v>
      </c>
      <c r="J11" s="14" t="s">
        <v>114</v>
      </c>
      <c r="K11" s="19" t="s">
        <v>111</v>
      </c>
      <c r="L11" s="19" t="s">
        <v>117</v>
      </c>
      <c r="M11" s="19" t="s">
        <v>123</v>
      </c>
      <c r="N11" s="19" t="s">
        <v>121</v>
      </c>
      <c r="O11" s="19" t="s">
        <v>120</v>
      </c>
      <c r="P11" s="14" t="s">
        <v>114</v>
      </c>
      <c r="Q11" s="19" t="s">
        <v>115</v>
      </c>
      <c r="R11" s="19" t="s">
        <v>112</v>
      </c>
      <c r="S11" s="19" t="s">
        <v>110</v>
      </c>
      <c r="T11" s="19" t="s">
        <v>107</v>
      </c>
      <c r="U11" s="19" t="s">
        <v>118</v>
      </c>
      <c r="V11" s="14" t="s">
        <v>114</v>
      </c>
      <c r="W11" s="19" t="s">
        <v>111</v>
      </c>
      <c r="X11" s="19" t="s">
        <v>117</v>
      </c>
      <c r="Y11" s="19" t="s">
        <v>123</v>
      </c>
      <c r="Z11" s="19" t="s">
        <v>121</v>
      </c>
      <c r="AA11" s="19" t="s">
        <v>120</v>
      </c>
      <c r="AB11" s="5"/>
      <c r="AC11" s="5"/>
      <c r="AD11" s="5"/>
      <c r="AE11" s="5"/>
      <c r="AF11" s="5"/>
      <c r="AG11" s="5"/>
      <c r="AH11" s="5"/>
      <c r="AI11" s="5"/>
      <c r="AJ11" s="5"/>
      <c r="AK11" s="4"/>
      <c r="AL11" s="5"/>
      <c r="AM11" s="5"/>
      <c r="AN11" s="5"/>
      <c r="AO11" s="4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</row>
    <row r="12" spans="2:121" hidden="1" x14ac:dyDescent="0.25">
      <c r="B12" s="8" t="s">
        <v>101</v>
      </c>
      <c r="C12" s="8"/>
      <c r="D12" s="30">
        <f>1</f>
        <v>1</v>
      </c>
      <c r="E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F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G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H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I12" s="24">
        <f t="shared" ref="I12:I28" ca="1" si="0">IFERROR(IF(INDIRECT(ADDRESS(ROW(),COLUMN()-7))="SA_0001",INDIRECT(ADDRESS(ROW()-7,COLUMN()))/INDIRECT(ADDRESS(ROW()-35,COLUMN())),SUM(E12:H12)),0)</f>
        <v>0</v>
      </c>
      <c r="J12" s="30">
        <f>1</f>
        <v>1</v>
      </c>
      <c r="K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L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M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N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1</v>
      </c>
      <c r="O12" s="24">
        <f t="shared" ref="O12:O28" ca="1" si="1">IFERROR(IF(INDIRECT(ADDRESS(ROW(),COLUMN()-13))="SA_0001",INDIRECT(ADDRESS(ROW()-7,COLUMN()))/INDIRECT(ADDRESS(ROW()-35,COLUMN())),SUM(K12:N12)),0)</f>
        <v>4</v>
      </c>
      <c r="P12" s="30">
        <f>1</f>
        <v>1</v>
      </c>
      <c r="Q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R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S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T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U12" s="24">
        <f t="shared" ref="U12:U28" ca="1" si="2">IFERROR(IF(INDIRECT(ADDRESS(ROW(),COLUMN()-19))="SA_0001",INDIRECT(ADDRESS(ROW()-7,COLUMN()))/INDIRECT(ADDRESS(ROW()-35,COLUMN())),SUM(Q12:T12)),0)</f>
        <v>0</v>
      </c>
      <c r="V12" s="30">
        <f>1</f>
        <v>1</v>
      </c>
      <c r="W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X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Y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Z12" s="8">
        <f>IF(FCorACT="Forecast",IF(MID(SCECODE,7,1)="1",IF(LEFT(SCECODE,4)=RIGHT(Quartale,4),1,IF(OR(LEFT(Quartale,2)="Q1",LEFT(Quartale,2)="Q2"),1,0)),IF(MID(SCECODE,7,1)="2",IF(LEFT(SCECODE,4)=RIGHT(Quartale,4),1,IF(OR(LEFT(Quartale,2)="Q1",LEFT(Quartale,2)="Q2",LEFT(Quartale,2)="Q3"),1,0)),IF(MID(SCECODE,7,1)="3",IF(LEFT(SCECODE,4)=RIGHT(Quartale,4),1,IF(OR(LEFT(Quartale,2)="Q1",LEFT(Quartale,2)="Q2",LEFT(Quartale,2)="Q3",LEFT(Quartale,2)="Q4"),1,0)),IF(MID(SCECODE,7,1)="4",IF(LEFT(SCECODE,4)=RIGHT(Quartale,4),1,IF(RIGHT(Quartale,4)="2018",1,IF(AND(RIGHT(Quartale,4)="2019",LEFT(Quartale,2)="Q1"),1,0))))))),0)</f>
        <v>0</v>
      </c>
      <c r="AA12" s="24">
        <f t="shared" ref="AA12:AA28" ca="1" si="3">IFERROR(IF(INDIRECT(ADDRESS(ROW(),COLUMN()-25))="SA_0001",INDIRECT(ADDRESS(ROW()-7,COLUMN()))/INDIRECT(ADDRESS(ROW()-35,COLUMN())),SUM(W12:Z12)),0)</f>
        <v>0</v>
      </c>
      <c r="AB12" s="5"/>
      <c r="AC12" s="5"/>
      <c r="AD12" s="5"/>
      <c r="AE12" s="5"/>
      <c r="AF12" s="5"/>
      <c r="AG12" s="5"/>
      <c r="AH12" s="5"/>
      <c r="AI12" s="5"/>
      <c r="AJ12" s="5"/>
      <c r="AK12" s="4"/>
      <c r="AL12" s="5"/>
      <c r="AM12" s="5"/>
      <c r="AN12" s="5"/>
      <c r="AO12" s="4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</row>
    <row r="13" spans="2:121" hidden="1" x14ac:dyDescent="0.25">
      <c r="B13" s="8" t="s">
        <v>101</v>
      </c>
      <c r="C13" s="8"/>
      <c r="D13" s="30">
        <f>1</f>
        <v>1</v>
      </c>
      <c r="E13">
        <f>IF(E12=1,IF(COUNTIFS(E16:E20,"&lt;0")=1,1,IF(COUNTIFS(E16:E20,"&lt;0")=2,1,IF(COUNTIFS(E16:E20,"&lt;0")=3,1,IF(COUNTIFS(E16:E20,"&lt;0")=4,1,IF(COUNTIFS(E16:E20,"&lt;0")=5,1,IF(COUNTIFS(E16:E20,"&lt;0")=6,1,0)))))),0)</f>
        <v>0</v>
      </c>
      <c r="F13">
        <f>IF(F12=1,IF(COUNTIFS(F16:F20,"&lt;0")=1,1,IF(COUNTIFS(F16:F20,"&lt;0")=2,1,IF(COUNTIFS(F16:F20,"&lt;0")=3,1,IF(COUNTIFS(F16:F20,"&lt;0")=4,1,IF(COUNTIFS(F16:F20,"&lt;0")=5,1,IF(COUNTIFS(F16:F20,"&lt;0")=6,1,0)))))),0)</f>
        <v>0</v>
      </c>
      <c r="G13">
        <f>IF(G12=1,IF(COUNTIFS(G16:G20,"&lt;0")=1,1,IF(COUNTIFS(G16:G20,"&lt;0")=2,1,IF(COUNTIFS(G16:G20,"&lt;0")=3,1,IF(COUNTIFS(G16:G20,"&lt;0")=4,1,IF(COUNTIFS(G16:G20,"&lt;0")=5,1,IF(COUNTIFS(G16:G20,"&lt;0")=6,1,0)))))),0)</f>
        <v>0</v>
      </c>
      <c r="H13">
        <f>IF(H12=1,IF(COUNTIFS(H16:H20,"&lt;0")=1,1,IF(COUNTIFS(H16:H20,"&lt;0")=2,1,IF(COUNTIFS(H16:H20,"&lt;0")=3,1,IF(COUNTIFS(H16:H20,"&lt;0")=4,1,IF(COUNTIFS(H16:H20,"&lt;0")=5,1,IF(COUNTIFS(H16:H20,"&lt;0")=6,1,0)))))),0)</f>
        <v>0</v>
      </c>
      <c r="I13" s="24">
        <f t="shared" ca="1" si="0"/>
        <v>0</v>
      </c>
      <c r="J13" s="30">
        <f>1</f>
        <v>1</v>
      </c>
      <c r="K13">
        <f>IF(K12=1,IF(COUNTIFS(K16:K20,"&lt;0")=1,1,IF(COUNTIFS(K16:K20,"&lt;0")=2,1,IF(COUNTIFS(K16:K20,"&lt;0")=3,1,IF(COUNTIFS(K16:K20,"&lt;0")=4,1,IF(COUNTIFS(K16:K20,"&lt;0")=5,1,IF(COUNTIFS(K16:K20,"&lt;0")=6,1,0)))))),0)</f>
        <v>0</v>
      </c>
      <c r="L13">
        <f>IF(L12=1,IF(COUNTIFS(L16:L20,"&lt;0")=1,1,IF(COUNTIFS(L16:L20,"&lt;0")=2,1,IF(COUNTIFS(L16:L20,"&lt;0")=3,1,IF(COUNTIFS(L16:L20,"&lt;0")=4,1,IF(COUNTIFS(L16:L20,"&lt;0")=5,1,IF(COUNTIFS(L16:L20,"&lt;0")=6,1,0)))))),0)</f>
        <v>0</v>
      </c>
      <c r="M13">
        <f>IF(M12=1,IF(COUNTIFS(M16:M20,"&lt;0")=1,1,IF(COUNTIFS(M16:M20,"&lt;0")=2,1,IF(COUNTIFS(M16:M20,"&lt;0")=3,1,IF(COUNTIFS(M16:M20,"&lt;0")=4,1,IF(COUNTIFS(M16:M20,"&lt;0")=5,1,IF(COUNTIFS(M16:M20,"&lt;0")=6,1,0)))))),0)</f>
        <v>0</v>
      </c>
      <c r="N13">
        <f>IF(N12=1,IF(COUNTIFS(N16:N20,"&lt;0")=1,1,IF(COUNTIFS(N16:N20,"&lt;0")=2,1,IF(COUNTIFS(N16:N20,"&lt;0")=3,1,IF(COUNTIFS(N16:N20,"&lt;0")=4,1,IF(COUNTIFS(N16:N20,"&lt;0")=5,1,IF(COUNTIFS(N16:N20,"&lt;0")=6,1,0)))))),0)</f>
        <v>0</v>
      </c>
      <c r="O13" s="24">
        <f t="shared" ca="1" si="1"/>
        <v>0</v>
      </c>
      <c r="P13" s="30">
        <f>1</f>
        <v>1</v>
      </c>
      <c r="Q13">
        <f>IF(Q12=1,IF(COUNTIFS(Q16:Q20,"&lt;0")=1,1,IF(COUNTIFS(Q16:Q20,"&lt;0")=2,1,IF(COUNTIFS(Q16:Q20,"&lt;0")=3,1,IF(COUNTIFS(Q16:Q20,"&lt;0")=4,1,IF(COUNTIFS(Q16:Q20,"&lt;0")=5,1,IF(COUNTIFS(Q16:Q20,"&lt;0")=6,1,0)))))),0)</f>
        <v>0</v>
      </c>
      <c r="R13">
        <f>IF(R12=1,IF(COUNTIFS(R16:R20,"&lt;0")=1,1,IF(COUNTIFS(R16:R20,"&lt;0")=2,1,IF(COUNTIFS(R16:R20,"&lt;0")=3,1,IF(COUNTIFS(R16:R20,"&lt;0")=4,1,IF(COUNTIFS(R16:R20,"&lt;0")=5,1,IF(COUNTIFS(R16:R20,"&lt;0")=6,1,0)))))),0)</f>
        <v>0</v>
      </c>
      <c r="S13">
        <f>IF(S12=1,IF(COUNTIFS(S16:S20,"&lt;0")=1,1,IF(COUNTIFS(S16:S20,"&lt;0")=2,1,IF(COUNTIFS(S16:S20,"&lt;0")=3,1,IF(COUNTIFS(S16:S20,"&lt;0")=4,1,IF(COUNTIFS(S16:S20,"&lt;0")=5,1,IF(COUNTIFS(S16:S20,"&lt;0")=6,1,0)))))),0)</f>
        <v>0</v>
      </c>
      <c r="T13">
        <f>IF(T12=1,IF(COUNTIFS(T16:T20,"&lt;0")=1,1,IF(COUNTIFS(T16:T20,"&lt;0")=2,1,IF(COUNTIFS(T16:T20,"&lt;0")=3,1,IF(COUNTIFS(T16:T20,"&lt;0")=4,1,IF(COUNTIFS(T16:T20,"&lt;0")=5,1,IF(COUNTIFS(T16:T20,"&lt;0")=6,1,0)))))),0)</f>
        <v>0</v>
      </c>
      <c r="U13" s="24">
        <f t="shared" ca="1" si="2"/>
        <v>0</v>
      </c>
      <c r="V13" s="30">
        <f>1</f>
        <v>1</v>
      </c>
      <c r="W13">
        <f>IF(W12=1,IF(COUNTIFS(W16:W20,"&lt;0")=1,1,IF(COUNTIFS(W16:W20,"&lt;0")=2,1,IF(COUNTIFS(W16:W20,"&lt;0")=3,1,IF(COUNTIFS(W16:W20,"&lt;0")=4,1,IF(COUNTIFS(W16:W20,"&lt;0")=5,1,IF(COUNTIFS(W16:W20,"&lt;0")=6,1,0)))))),0)</f>
        <v>0</v>
      </c>
      <c r="X13">
        <f>IF(X12=1,IF(COUNTIFS(X16:X20,"&lt;0")=1,1,IF(COUNTIFS(X16:X20,"&lt;0")=2,1,IF(COUNTIFS(X16:X20,"&lt;0")=3,1,IF(COUNTIFS(X16:X20,"&lt;0")=4,1,IF(COUNTIFS(X16:X20,"&lt;0")=5,1,IF(COUNTIFS(X16:X20,"&lt;0")=6,1,0)))))),0)</f>
        <v>0</v>
      </c>
      <c r="Y13">
        <f>IF(Y12=1,IF(COUNTIFS(Y16:Y20,"&lt;0")=1,1,IF(COUNTIFS(Y16:Y20,"&lt;0")=2,1,IF(COUNTIFS(Y16:Y20,"&lt;0")=3,1,IF(COUNTIFS(Y16:Y20,"&lt;0")=4,1,IF(COUNTIFS(Y16:Y20,"&lt;0")=5,1,IF(COUNTIFS(Y16:Y20,"&lt;0")=6,1,0)))))),0)</f>
        <v>0</v>
      </c>
      <c r="Z13">
        <f>IF(Z12=1,IF(COUNTIFS(Z16:Z20,"&lt;0")=1,1,IF(COUNTIFS(Z16:Z20,"&lt;0")=2,1,IF(COUNTIFS(Z16:Z20,"&lt;0")=3,1,IF(COUNTIFS(Z16:Z20,"&lt;0")=4,1,IF(COUNTIFS(Z16:Z20,"&lt;0")=5,1,IF(COUNTIFS(Z16:Z20,"&lt;0")=6,1,0)))))),0)</f>
        <v>0</v>
      </c>
      <c r="AA13" s="24">
        <f t="shared" ca="1" si="3"/>
        <v>0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</row>
    <row r="14" spans="2:121" hidden="1" x14ac:dyDescent="0.25">
      <c r="B14" s="8" t="s">
        <v>101</v>
      </c>
      <c r="C14" s="8"/>
      <c r="D14" s="30">
        <f>1</f>
        <v>1</v>
      </c>
      <c r="E14">
        <f>IF(E12=1,IF(COUNTIFS(E30:E34,"=0")=1,1,IF(COUNTIFS(E30:E34,"=0")=2,1,IF(COUNTIFS(E30:E34,"=0")=3,1,IF(COUNTIFS(E30:E34,"=0")=4,1,IF(COUNTIFS(E30:E34,"&gt;0")=5,1,IF(COUNTIFS(E30:E34,"=0")=6,1,0)))))),0)</f>
        <v>0</v>
      </c>
      <c r="F14">
        <f>IF(F12=1,IF(COUNTIFS(F30:F34,"=0")=1,1,IF(COUNTIFS(F30:F34,"=0")=2,1,IF(COUNTIFS(F30:F34,"=0")=3,1,IF(COUNTIFS(F30:F34,"=0")=4,1,IF(COUNTIFS(F30:F34,"&gt;0")=5,1,IF(COUNTIFS(F30:F34,"=0")=6,1,0)))))),0)</f>
        <v>0</v>
      </c>
      <c r="G14">
        <f>IF(G12=1,IF(COUNTIFS(G30:G34,"=0")=1,1,IF(COUNTIFS(G30:G34,"=0")=2,1,IF(COUNTIFS(G30:G34,"=0")=3,1,IF(COUNTIFS(G30:G34,"=0")=4,1,IF(COUNTIFS(G30:G34,"&gt;0")=5,1,IF(COUNTIFS(G30:G34,"=0")=6,1,0)))))),0)</f>
        <v>0</v>
      </c>
      <c r="H14">
        <f>IF(H12=1,IF(COUNTIFS(H30:H34,"=0")=1,1,IF(COUNTIFS(H30:H34,"=0")=2,1,IF(COUNTIFS(H30:H34,"=0")=3,1,IF(COUNTIFS(H30:H34,"=0")=4,1,IF(COUNTIFS(H30:H34,"&gt;0")=5,1,IF(COUNTIFS(H30:H34,"=0")=6,1,0)))))),0)</f>
        <v>0</v>
      </c>
      <c r="I14" s="24">
        <f t="shared" ca="1" si="0"/>
        <v>0</v>
      </c>
      <c r="J14" s="30">
        <f>1</f>
        <v>1</v>
      </c>
      <c r="K14">
        <f>IF(K12=1,IF(COUNTIFS(K30:K34,"=0")=1,1,IF(COUNTIFS(K30:K34,"=0")=2,1,IF(COUNTIFS(K30:K34,"=0")=3,1,IF(COUNTIFS(K30:K34,"=0")=4,1,IF(COUNTIFS(K30:K34,"&gt;0")=5,1,IF(COUNTIFS(K30:K34,"=0")=6,1,0)))))),0)</f>
        <v>0</v>
      </c>
      <c r="L14">
        <f>IF(L12=1,IF(COUNTIFS(L30:L34,"=0")=1,1,IF(COUNTIFS(L30:L34,"=0")=2,1,IF(COUNTIFS(L30:L34,"=0")=3,1,IF(COUNTIFS(L30:L34,"=0")=4,1,IF(COUNTIFS(L30:L34,"&gt;0")=5,1,IF(COUNTIFS(L30:L34,"=0")=6,1,0)))))),0)</f>
        <v>0</v>
      </c>
      <c r="M14">
        <f>IF(M12=1,IF(COUNTIFS(M30:M34,"=0")=1,1,IF(COUNTIFS(M30:M34,"=0")=2,1,IF(COUNTIFS(M30:M34,"=0")=3,1,IF(COUNTIFS(M30:M34,"=0")=4,1,IF(COUNTIFS(M30:M34,"&gt;0")=5,1,IF(COUNTIFS(M30:M34,"=0")=6,1,0)))))),0)</f>
        <v>0</v>
      </c>
      <c r="N14">
        <f>IF(N12=1,IF(COUNTIFS(N30:N34,"=0")=1,1,IF(COUNTIFS(N30:N34,"=0")=2,1,IF(COUNTIFS(N30:N34,"=0")=3,1,IF(COUNTIFS(N30:N34,"=0")=4,1,IF(COUNTIFS(N30:N34,"&gt;0")=5,1,IF(COUNTIFS(N30:N34,"=0")=6,1,0)))))),0)</f>
        <v>0</v>
      </c>
      <c r="O14" s="24">
        <f t="shared" ca="1" si="1"/>
        <v>0</v>
      </c>
      <c r="P14" s="30">
        <f>1</f>
        <v>1</v>
      </c>
      <c r="Q14">
        <f>IF(Q12=1,IF(COUNTIFS(Q30:Q34,"=0")=1,1,IF(COUNTIFS(Q30:Q34,"=0")=2,1,IF(COUNTIFS(Q30:Q34,"=0")=3,1,IF(COUNTIFS(Q30:Q34,"=0")=4,1,IF(COUNTIFS(Q30:Q34,"&gt;0")=5,1,IF(COUNTIFS(Q30:Q34,"=0")=6,1,0)))))),0)</f>
        <v>0</v>
      </c>
      <c r="R14">
        <f>IF(R12=1,IF(COUNTIFS(R30:R34,"=0")=1,1,IF(COUNTIFS(R30:R34,"=0")=2,1,IF(COUNTIFS(R30:R34,"=0")=3,1,IF(COUNTIFS(R30:R34,"=0")=4,1,IF(COUNTIFS(R30:R34,"&gt;0")=5,1,IF(COUNTIFS(R30:R34,"=0")=6,1,0)))))),0)</f>
        <v>0</v>
      </c>
      <c r="S14">
        <f>IF(S12=1,IF(COUNTIFS(S30:S34,"=0")=1,1,IF(COUNTIFS(S30:S34,"=0")=2,1,IF(COUNTIFS(S30:S34,"=0")=3,1,IF(COUNTIFS(S30:S34,"=0")=4,1,IF(COUNTIFS(S30:S34,"&gt;0")=5,1,IF(COUNTIFS(S30:S34,"=0")=6,1,0)))))),0)</f>
        <v>0</v>
      </c>
      <c r="T14">
        <f>IF(T12=1,IF(COUNTIFS(T30:T34,"=0")=1,1,IF(COUNTIFS(T30:T34,"=0")=2,1,IF(COUNTIFS(T30:T34,"=0")=3,1,IF(COUNTIFS(T30:T34,"=0")=4,1,IF(COUNTIFS(T30:T34,"&gt;0")=5,1,IF(COUNTIFS(T30:T34,"=0")=6,1,0)))))),0)</f>
        <v>0</v>
      </c>
      <c r="U14" s="24">
        <f t="shared" ca="1" si="2"/>
        <v>0</v>
      </c>
      <c r="V14" s="30">
        <f>1</f>
        <v>1</v>
      </c>
      <c r="W14">
        <f>IF(W12=1,IF(COUNTIFS(W30:W34,"=0")=1,1,IF(COUNTIFS(W30:W34,"=0")=2,1,IF(COUNTIFS(W30:W34,"=0")=3,1,IF(COUNTIFS(W30:W34,"=0")=4,1,IF(COUNTIFS(W30:W34,"&gt;0")=5,1,IF(COUNTIFS(W30:W34,"=0")=6,1,0)))))),0)</f>
        <v>0</v>
      </c>
      <c r="X14">
        <f>IF(X12=1,IF(COUNTIFS(X30:X34,"=0")=1,1,IF(COUNTIFS(X30:X34,"=0")=2,1,IF(COUNTIFS(X30:X34,"=0")=3,1,IF(COUNTIFS(X30:X34,"=0")=4,1,IF(COUNTIFS(X30:X34,"&gt;0")=5,1,IF(COUNTIFS(X30:X34,"=0")=6,1,0)))))),0)</f>
        <v>0</v>
      </c>
      <c r="Y14">
        <f>IF(Y12=1,IF(COUNTIFS(Y30:Y34,"=0")=1,1,IF(COUNTIFS(Y30:Y34,"=0")=2,1,IF(COUNTIFS(Y30:Y34,"=0")=3,1,IF(COUNTIFS(Y30:Y34,"=0")=4,1,IF(COUNTIFS(Y30:Y34,"&gt;0")=5,1,IF(COUNTIFS(Y30:Y34,"=0")=6,1,0)))))),0)</f>
        <v>0</v>
      </c>
      <c r="Z14">
        <f>IF(Z12=1,IF(COUNTIFS(Z30:Z34,"=0")=1,1,IF(COUNTIFS(Z30:Z34,"=0")=2,1,IF(COUNTIFS(Z30:Z34,"=0")=3,1,IF(COUNTIFS(Z30:Z34,"=0")=4,1,IF(COUNTIFS(Z30:Z34,"&gt;0")=5,1,IF(COUNTIFS(Z30:Z34,"=0")=6,1,0)))))),0)</f>
        <v>0</v>
      </c>
      <c r="AA14" s="24">
        <f t="shared" ca="1" si="3"/>
        <v>0</v>
      </c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</row>
    <row r="15" spans="2:121" x14ac:dyDescent="0.25">
      <c r="B15" s="18" t="s">
        <v>101</v>
      </c>
      <c r="C15" s="18"/>
      <c r="D15" s="32">
        <f>1</f>
        <v>1</v>
      </c>
      <c r="E15" s="17">
        <f>SUM(E16:E21)</f>
        <v>0</v>
      </c>
      <c r="F15" s="17">
        <f>SUM(F16:F21)</f>
        <v>0</v>
      </c>
      <c r="G15" s="17">
        <f>SUM(G16:G21)</f>
        <v>0</v>
      </c>
      <c r="H15" s="17">
        <f>SUM(H16:H21)</f>
        <v>0</v>
      </c>
      <c r="I15" s="33">
        <f t="shared" ca="1" si="0"/>
        <v>0</v>
      </c>
      <c r="J15" s="32">
        <f>1</f>
        <v>1</v>
      </c>
      <c r="K15" s="17">
        <f>SUM(K16:K21)</f>
        <v>0</v>
      </c>
      <c r="L15" s="17">
        <f>SUM(L16:L21)</f>
        <v>0</v>
      </c>
      <c r="M15" s="17">
        <f>SUM(M16:M21)</f>
        <v>0</v>
      </c>
      <c r="N15" s="17">
        <f>SUM(N16:N21)</f>
        <v>0</v>
      </c>
      <c r="O15" s="33">
        <f t="shared" ca="1" si="1"/>
        <v>0</v>
      </c>
      <c r="P15" s="32">
        <f>1</f>
        <v>1</v>
      </c>
      <c r="Q15" s="17">
        <f>SUM(Q16:Q21)</f>
        <v>0</v>
      </c>
      <c r="R15" s="17">
        <f>SUM(R16:R21)</f>
        <v>0</v>
      </c>
      <c r="S15" s="17">
        <f>SUM(S16:S21)</f>
        <v>0</v>
      </c>
      <c r="T15" s="17">
        <f>SUM(T16:T21)</f>
        <v>0</v>
      </c>
      <c r="U15" s="33">
        <f t="shared" ca="1" si="2"/>
        <v>0</v>
      </c>
      <c r="V15" s="32">
        <f>1</f>
        <v>1</v>
      </c>
      <c r="W15" s="17">
        <f>SUM(W16:W21)</f>
        <v>0</v>
      </c>
      <c r="X15" s="17">
        <f>SUM(X16:X21)</f>
        <v>0</v>
      </c>
      <c r="Y15" s="17">
        <f>SUM(Y16:Y21)</f>
        <v>0</v>
      </c>
      <c r="Z15" s="17">
        <f>SUM(Z16:Z21)</f>
        <v>0</v>
      </c>
      <c r="AA15" s="33">
        <f t="shared" ca="1" si="3"/>
        <v>0</v>
      </c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</row>
    <row r="16" spans="2:121" x14ac:dyDescent="0.25">
      <c r="B16" s="21" t="s">
        <v>3</v>
      </c>
      <c r="C16" s="21" t="s">
        <v>101</v>
      </c>
      <c r="D16" s="29">
        <f>1</f>
        <v>1</v>
      </c>
      <c r="E16" s="16"/>
      <c r="F16" s="16"/>
      <c r="G16" s="16"/>
      <c r="H16" s="16"/>
      <c r="I16" s="28">
        <f t="shared" ca="1" si="0"/>
        <v>0</v>
      </c>
      <c r="J16" s="29">
        <f>1</f>
        <v>1</v>
      </c>
      <c r="K16" s="16"/>
      <c r="L16" s="16"/>
      <c r="M16" s="16"/>
      <c r="N16" s="16"/>
      <c r="O16" s="28">
        <f t="shared" ca="1" si="1"/>
        <v>0</v>
      </c>
      <c r="P16" s="29">
        <f>1</f>
        <v>1</v>
      </c>
      <c r="Q16" s="16"/>
      <c r="R16" s="16"/>
      <c r="S16" s="16"/>
      <c r="T16" s="16"/>
      <c r="U16" s="28">
        <f t="shared" ca="1" si="2"/>
        <v>0</v>
      </c>
      <c r="V16" s="29">
        <f>1</f>
        <v>1</v>
      </c>
      <c r="W16" s="16"/>
      <c r="X16" s="16"/>
      <c r="Y16" s="16"/>
      <c r="Z16" s="16"/>
      <c r="AA16" s="28">
        <f t="shared" ca="1" si="3"/>
        <v>0</v>
      </c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</row>
    <row r="17" spans="2:121" x14ac:dyDescent="0.25">
      <c r="B17" s="21" t="s">
        <v>3</v>
      </c>
      <c r="C17" s="21" t="s">
        <v>101</v>
      </c>
      <c r="D17" s="29">
        <f>1</f>
        <v>1</v>
      </c>
      <c r="E17" s="16"/>
      <c r="F17" s="16"/>
      <c r="G17" s="16"/>
      <c r="H17" s="16"/>
      <c r="I17" s="28">
        <f t="shared" ca="1" si="0"/>
        <v>0</v>
      </c>
      <c r="J17" s="29">
        <f>1</f>
        <v>1</v>
      </c>
      <c r="K17" s="16"/>
      <c r="L17" s="16"/>
      <c r="M17" s="16"/>
      <c r="N17" s="16"/>
      <c r="O17" s="28">
        <f t="shared" ca="1" si="1"/>
        <v>0</v>
      </c>
      <c r="P17" s="29">
        <f>1</f>
        <v>1</v>
      </c>
      <c r="Q17" s="16"/>
      <c r="R17" s="16"/>
      <c r="S17" s="16"/>
      <c r="T17" s="16"/>
      <c r="U17" s="28">
        <f t="shared" ca="1" si="2"/>
        <v>0</v>
      </c>
      <c r="V17" s="29">
        <f>1</f>
        <v>1</v>
      </c>
      <c r="W17" s="16"/>
      <c r="X17" s="16"/>
      <c r="Y17" s="16"/>
      <c r="Z17" s="16"/>
      <c r="AA17" s="28">
        <f t="shared" ca="1" si="3"/>
        <v>0</v>
      </c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</row>
    <row r="18" spans="2:121" x14ac:dyDescent="0.25">
      <c r="B18" s="21" t="s">
        <v>3</v>
      </c>
      <c r="C18" s="21"/>
      <c r="D18" s="29">
        <f>1</f>
        <v>1</v>
      </c>
      <c r="E18" s="16"/>
      <c r="F18" s="16"/>
      <c r="G18" s="16"/>
      <c r="H18" s="16"/>
      <c r="I18" s="28">
        <f t="shared" ca="1" si="0"/>
        <v>0</v>
      </c>
      <c r="J18" s="29">
        <f>1</f>
        <v>1</v>
      </c>
      <c r="K18" s="16"/>
      <c r="L18" s="16"/>
      <c r="M18" s="16"/>
      <c r="N18" s="16"/>
      <c r="O18" s="28">
        <f t="shared" ca="1" si="1"/>
        <v>0</v>
      </c>
      <c r="P18" s="29">
        <f>1</f>
        <v>1</v>
      </c>
      <c r="Q18" s="16"/>
      <c r="R18" s="16"/>
      <c r="S18" s="16"/>
      <c r="T18" s="16"/>
      <c r="U18" s="28">
        <f t="shared" ca="1" si="2"/>
        <v>0</v>
      </c>
      <c r="V18" s="29">
        <f>1</f>
        <v>1</v>
      </c>
      <c r="W18" s="16"/>
      <c r="X18" s="16"/>
      <c r="Y18" s="16"/>
      <c r="Z18" s="16"/>
      <c r="AA18" s="28">
        <f t="shared" ca="1" si="3"/>
        <v>0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</row>
    <row r="19" spans="2:121" x14ac:dyDescent="0.25">
      <c r="B19" s="21" t="s">
        <v>3</v>
      </c>
      <c r="C19" s="21"/>
      <c r="D19" s="29">
        <f>1</f>
        <v>1</v>
      </c>
      <c r="E19" s="16"/>
      <c r="F19" s="16"/>
      <c r="G19" s="16"/>
      <c r="H19" s="16"/>
      <c r="I19" s="28">
        <f t="shared" ca="1" si="0"/>
        <v>0</v>
      </c>
      <c r="J19" s="29">
        <f>1</f>
        <v>1</v>
      </c>
      <c r="K19" s="16"/>
      <c r="L19" s="16"/>
      <c r="M19" s="16"/>
      <c r="N19" s="16"/>
      <c r="O19" s="28">
        <f t="shared" ca="1" si="1"/>
        <v>0</v>
      </c>
      <c r="P19" s="29">
        <f>1</f>
        <v>1</v>
      </c>
      <c r="Q19" s="16"/>
      <c r="R19" s="16"/>
      <c r="S19" s="16"/>
      <c r="T19" s="16"/>
      <c r="U19" s="28">
        <f t="shared" ca="1" si="2"/>
        <v>0</v>
      </c>
      <c r="V19" s="29">
        <f>1</f>
        <v>1</v>
      </c>
      <c r="W19" s="16"/>
      <c r="X19" s="16"/>
      <c r="Y19" s="16"/>
      <c r="Z19" s="16"/>
      <c r="AA19" s="28">
        <f t="shared" ca="1" si="3"/>
        <v>0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</row>
    <row r="20" spans="2:121" x14ac:dyDescent="0.25">
      <c r="B20" s="21" t="s">
        <v>3</v>
      </c>
      <c r="C20" s="21"/>
      <c r="D20" s="29">
        <f>1</f>
        <v>1</v>
      </c>
      <c r="E20" s="16"/>
      <c r="F20" s="16"/>
      <c r="G20" s="16"/>
      <c r="H20" s="16"/>
      <c r="I20" s="28">
        <f t="shared" ca="1" si="0"/>
        <v>0</v>
      </c>
      <c r="J20" s="29">
        <f>1</f>
        <v>1</v>
      </c>
      <c r="K20" s="16"/>
      <c r="L20" s="16"/>
      <c r="M20" s="16"/>
      <c r="N20" s="16"/>
      <c r="O20" s="28">
        <f t="shared" ca="1" si="1"/>
        <v>0</v>
      </c>
      <c r="P20" s="29">
        <f>1</f>
        <v>1</v>
      </c>
      <c r="Q20" s="16"/>
      <c r="R20" s="16"/>
      <c r="S20" s="16"/>
      <c r="T20" s="16"/>
      <c r="U20" s="28">
        <f t="shared" ca="1" si="2"/>
        <v>0</v>
      </c>
      <c r="V20" s="29">
        <f>1</f>
        <v>1</v>
      </c>
      <c r="W20" s="16"/>
      <c r="X20" s="16"/>
      <c r="Y20" s="16"/>
      <c r="Z20" s="16"/>
      <c r="AA20" s="28">
        <f t="shared" ca="1" si="3"/>
        <v>0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</row>
    <row r="21" spans="2:121" x14ac:dyDescent="0.25">
      <c r="B21" s="21" t="s">
        <v>3</v>
      </c>
      <c r="C21" s="21" t="s">
        <v>101</v>
      </c>
      <c r="D21" s="29">
        <f>1</f>
        <v>1</v>
      </c>
      <c r="E21" s="16"/>
      <c r="F21" s="16"/>
      <c r="G21" s="16"/>
      <c r="H21" s="16"/>
      <c r="I21" s="28">
        <f t="shared" ca="1" si="0"/>
        <v>0</v>
      </c>
      <c r="J21" s="29">
        <f>1</f>
        <v>1</v>
      </c>
      <c r="K21" s="16"/>
      <c r="L21" s="16"/>
      <c r="M21" s="16"/>
      <c r="N21" s="16"/>
      <c r="O21" s="28">
        <f t="shared" ca="1" si="1"/>
        <v>0</v>
      </c>
      <c r="P21" s="29">
        <f>1</f>
        <v>1</v>
      </c>
      <c r="Q21" s="16"/>
      <c r="R21" s="16"/>
      <c r="S21" s="16"/>
      <c r="T21" s="16"/>
      <c r="U21" s="28">
        <f t="shared" ca="1" si="2"/>
        <v>0</v>
      </c>
      <c r="V21" s="29">
        <f>1</f>
        <v>1</v>
      </c>
      <c r="W21" s="16"/>
      <c r="X21" s="16"/>
      <c r="Y21" s="16"/>
      <c r="Z21" s="16"/>
      <c r="AA21" s="28">
        <f t="shared" ca="1" si="3"/>
        <v>0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</row>
    <row r="22" spans="2:121" x14ac:dyDescent="0.25">
      <c r="B22" s="18" t="s">
        <v>101</v>
      </c>
      <c r="C22" s="18"/>
      <c r="D22" s="32">
        <f>1</f>
        <v>1</v>
      </c>
      <c r="E22" s="17">
        <f>SUM(E23:E28)</f>
        <v>0</v>
      </c>
      <c r="F22" s="17">
        <f>SUM(F23:F28)</f>
        <v>0</v>
      </c>
      <c r="G22" s="17">
        <f>SUM(G23:G28)</f>
        <v>0</v>
      </c>
      <c r="H22" s="17">
        <f>SUM(H23:H28)</f>
        <v>0</v>
      </c>
      <c r="I22" s="33">
        <f t="shared" ca="1" si="0"/>
        <v>0</v>
      </c>
      <c r="J22" s="32">
        <f>1</f>
        <v>1</v>
      </c>
      <c r="K22" s="17">
        <f>SUM(K23:K28)</f>
        <v>0</v>
      </c>
      <c r="L22" s="17">
        <f>SUM(L23:L28)</f>
        <v>0</v>
      </c>
      <c r="M22" s="17">
        <f>SUM(M23:M28)</f>
        <v>0</v>
      </c>
      <c r="N22" s="17">
        <f>SUM(N23:N28)</f>
        <v>0</v>
      </c>
      <c r="O22" s="33">
        <f t="shared" ca="1" si="1"/>
        <v>0</v>
      </c>
      <c r="P22" s="32">
        <f>1</f>
        <v>1</v>
      </c>
      <c r="Q22" s="17">
        <f>SUM(Q23:Q28)</f>
        <v>0</v>
      </c>
      <c r="R22" s="17">
        <f>SUM(R23:R28)</f>
        <v>0</v>
      </c>
      <c r="S22" s="17">
        <f>SUM(S23:S28)</f>
        <v>0</v>
      </c>
      <c r="T22" s="17">
        <f>SUM(T23:T28)</f>
        <v>0</v>
      </c>
      <c r="U22" s="33">
        <f t="shared" ca="1" si="2"/>
        <v>0</v>
      </c>
      <c r="V22" s="32">
        <f>1</f>
        <v>1</v>
      </c>
      <c r="W22" s="17">
        <f>SUM(W23:W28)</f>
        <v>0</v>
      </c>
      <c r="X22" s="17">
        <f>SUM(X23:X28)</f>
        <v>0</v>
      </c>
      <c r="Y22" s="17">
        <f>SUM(Y23:Y28)</f>
        <v>0</v>
      </c>
      <c r="Z22" s="17">
        <f>SUM(Z23:Z28)</f>
        <v>0</v>
      </c>
      <c r="AA22" s="33">
        <f t="shared" ca="1" si="3"/>
        <v>0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</row>
    <row r="23" spans="2:121" x14ac:dyDescent="0.25">
      <c r="B23" s="21" t="s">
        <v>4</v>
      </c>
      <c r="C23" s="21" t="s">
        <v>101</v>
      </c>
      <c r="D23" s="29">
        <f>1</f>
        <v>1</v>
      </c>
      <c r="E23" s="16">
        <f>IF(E30&lt;0,E30,IF(E51&gt;=0,E51*E16-E16,E37))</f>
        <v>0</v>
      </c>
      <c r="F23" s="16">
        <f>IF(F30&lt;0,F30,IF(F51&gt;=0,F51*F16-F16,F37))</f>
        <v>0</v>
      </c>
      <c r="G23" s="16">
        <f>IF(G30&lt;0,G30,IF(G51&gt;=0,G51*G16-G16,G37))</f>
        <v>0</v>
      </c>
      <c r="H23" s="16">
        <f>IF(H30&lt;0,H30,IF(H51&gt;=0,H51*H16-H16,H37))</f>
        <v>0</v>
      </c>
      <c r="I23" s="28">
        <f t="shared" ca="1" si="0"/>
        <v>0</v>
      </c>
      <c r="J23" s="29">
        <f>1</f>
        <v>1</v>
      </c>
      <c r="K23" s="16">
        <f>IF(K30&lt;0,K30,IF(K51&gt;=0,K51*K16-K16,K37))</f>
        <v>0</v>
      </c>
      <c r="L23" s="16">
        <f>IF(L30&lt;0,L30,IF(L51&gt;=0,L51*L16-L16,L37))</f>
        <v>0</v>
      </c>
      <c r="M23" s="16">
        <f>IF(M30&lt;0,M30,IF(M51&gt;=0,M51*M16-M16,M37))</f>
        <v>0</v>
      </c>
      <c r="N23" s="16">
        <f>IF(N30&lt;0,N30,IF(N51&gt;=0,N51*N16-N16,N37))</f>
        <v>0</v>
      </c>
      <c r="O23" s="28">
        <f t="shared" ca="1" si="1"/>
        <v>0</v>
      </c>
      <c r="P23" s="29">
        <f>1</f>
        <v>1</v>
      </c>
      <c r="Q23" s="16">
        <f>IF(Q30&lt;0,Q30,IF(Q51&gt;=0,Q51*Q16-Q16,Q37))</f>
        <v>0</v>
      </c>
      <c r="R23" s="16">
        <f>IF(R30&lt;0,R30,IF(R51&gt;=0,R51*R16-R16,R37))</f>
        <v>0</v>
      </c>
      <c r="S23" s="16">
        <f>IF(S30&lt;0,S30,IF(S51&gt;=0,S51*S16-S16,S37))</f>
        <v>0</v>
      </c>
      <c r="T23" s="16">
        <f>IF(T30&lt;0,T30,IF(T51&gt;=0,T51*T16-T16,T37))</f>
        <v>0</v>
      </c>
      <c r="U23" s="28">
        <f t="shared" ca="1" si="2"/>
        <v>0</v>
      </c>
      <c r="V23" s="29">
        <f>1</f>
        <v>1</v>
      </c>
      <c r="W23" s="16">
        <f>IF(W30&lt;0,W30,IF(W51&gt;=0,W51*W16-W16,W37))</f>
        <v>0</v>
      </c>
      <c r="X23" s="16">
        <f>IF(X30&lt;0,X30,IF(X51&gt;=0,X51*X16-X16,X37))</f>
        <v>0</v>
      </c>
      <c r="Y23" s="16">
        <f>IF(Y30&lt;0,Y30,IF(Y51&gt;=0,Y51*Y16-Y16,Y37))</f>
        <v>0</v>
      </c>
      <c r="Z23" s="16">
        <f>IF(Z30&lt;0,Z30,IF(Z51&gt;=0,Z51*Z16-Z16,Z37))</f>
        <v>0</v>
      </c>
      <c r="AA23" s="28">
        <f t="shared" ca="1" si="3"/>
        <v>0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</row>
    <row r="24" spans="2:121" x14ac:dyDescent="0.25">
      <c r="B24" s="21" t="s">
        <v>4</v>
      </c>
      <c r="C24" s="21" t="s">
        <v>101</v>
      </c>
      <c r="D24" s="29">
        <f>1</f>
        <v>1</v>
      </c>
      <c r="E24" s="16">
        <f t="shared" ref="E24:H28" si="4">IF(E31&lt;0,E31,IF(E52&gt;0,E52*E17-E17,E38))</f>
        <v>0</v>
      </c>
      <c r="F24" s="16">
        <f t="shared" si="4"/>
        <v>0</v>
      </c>
      <c r="G24" s="16">
        <f t="shared" si="4"/>
        <v>0</v>
      </c>
      <c r="H24" s="16">
        <f t="shared" si="4"/>
        <v>0</v>
      </c>
      <c r="I24" s="28">
        <f t="shared" ca="1" si="0"/>
        <v>0</v>
      </c>
      <c r="J24" s="29">
        <f>1</f>
        <v>1</v>
      </c>
      <c r="K24" s="16">
        <f t="shared" ref="K24:N28" si="5">IF(K31&lt;0,K31,IF(K52&gt;0,K52*K17-K17,K38))</f>
        <v>0</v>
      </c>
      <c r="L24" s="16">
        <f t="shared" si="5"/>
        <v>0</v>
      </c>
      <c r="M24" s="16">
        <f t="shared" si="5"/>
        <v>0</v>
      </c>
      <c r="N24" s="16">
        <f t="shared" si="5"/>
        <v>0</v>
      </c>
      <c r="O24" s="28">
        <f t="shared" ca="1" si="1"/>
        <v>0</v>
      </c>
      <c r="P24" s="29">
        <f>1</f>
        <v>1</v>
      </c>
      <c r="Q24" s="16">
        <f t="shared" ref="Q24:T28" si="6">IF(Q31&lt;0,Q31,IF(Q52&gt;0,Q52*Q17-Q17,Q38))</f>
        <v>0</v>
      </c>
      <c r="R24" s="16">
        <f t="shared" si="6"/>
        <v>0</v>
      </c>
      <c r="S24" s="16">
        <f t="shared" si="6"/>
        <v>0</v>
      </c>
      <c r="T24" s="16">
        <f t="shared" si="6"/>
        <v>0</v>
      </c>
      <c r="U24" s="28">
        <f t="shared" ca="1" si="2"/>
        <v>0</v>
      </c>
      <c r="V24" s="29">
        <f>1</f>
        <v>1</v>
      </c>
      <c r="W24" s="16">
        <f t="shared" ref="W24:Z28" si="7">IF(W31&lt;0,W31,IF(W52&gt;0,W52*W17-W17,W38))</f>
        <v>0</v>
      </c>
      <c r="X24" s="16">
        <f t="shared" si="7"/>
        <v>0</v>
      </c>
      <c r="Y24" s="16">
        <f t="shared" si="7"/>
        <v>0</v>
      </c>
      <c r="Z24" s="16">
        <f t="shared" si="7"/>
        <v>0</v>
      </c>
      <c r="AA24" s="28">
        <f t="shared" ca="1" si="3"/>
        <v>0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</row>
    <row r="25" spans="2:121" x14ac:dyDescent="0.25">
      <c r="B25" s="21" t="s">
        <v>4</v>
      </c>
      <c r="C25" s="21"/>
      <c r="D25" s="29">
        <f>1</f>
        <v>1</v>
      </c>
      <c r="E25" s="16">
        <f t="shared" si="4"/>
        <v>0</v>
      </c>
      <c r="F25" s="16">
        <f t="shared" si="4"/>
        <v>0</v>
      </c>
      <c r="G25" s="16">
        <f t="shared" si="4"/>
        <v>0</v>
      </c>
      <c r="H25" s="16">
        <f t="shared" si="4"/>
        <v>0</v>
      </c>
      <c r="I25" s="28">
        <f t="shared" ca="1" si="0"/>
        <v>0</v>
      </c>
      <c r="J25" s="29">
        <f>1</f>
        <v>1</v>
      </c>
      <c r="K25" s="16">
        <f t="shared" si="5"/>
        <v>0</v>
      </c>
      <c r="L25" s="16">
        <f t="shared" si="5"/>
        <v>0</v>
      </c>
      <c r="M25" s="16">
        <f t="shared" si="5"/>
        <v>0</v>
      </c>
      <c r="N25" s="16">
        <f t="shared" si="5"/>
        <v>0</v>
      </c>
      <c r="O25" s="28">
        <f t="shared" ca="1" si="1"/>
        <v>0</v>
      </c>
      <c r="P25" s="29">
        <f>1</f>
        <v>1</v>
      </c>
      <c r="Q25" s="16">
        <f t="shared" si="6"/>
        <v>0</v>
      </c>
      <c r="R25" s="16">
        <f t="shared" si="6"/>
        <v>0</v>
      </c>
      <c r="S25" s="16">
        <f t="shared" si="6"/>
        <v>0</v>
      </c>
      <c r="T25" s="16">
        <f t="shared" si="6"/>
        <v>0</v>
      </c>
      <c r="U25" s="28">
        <f t="shared" ca="1" si="2"/>
        <v>0</v>
      </c>
      <c r="V25" s="29">
        <f>1</f>
        <v>1</v>
      </c>
      <c r="W25" s="16">
        <f t="shared" si="7"/>
        <v>0</v>
      </c>
      <c r="X25" s="16">
        <f t="shared" si="7"/>
        <v>0</v>
      </c>
      <c r="Y25" s="16">
        <f t="shared" si="7"/>
        <v>0</v>
      </c>
      <c r="Z25" s="16">
        <f t="shared" si="7"/>
        <v>0</v>
      </c>
      <c r="AA25" s="28">
        <f t="shared" ca="1" si="3"/>
        <v>0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</row>
    <row r="26" spans="2:121" x14ac:dyDescent="0.25">
      <c r="B26" s="21" t="s">
        <v>4</v>
      </c>
      <c r="C26" s="21"/>
      <c r="D26" s="29">
        <f>1</f>
        <v>1</v>
      </c>
      <c r="E26" s="16">
        <f t="shared" si="4"/>
        <v>0</v>
      </c>
      <c r="F26" s="16">
        <f t="shared" si="4"/>
        <v>0</v>
      </c>
      <c r="G26" s="16">
        <f t="shared" si="4"/>
        <v>0</v>
      </c>
      <c r="H26" s="16">
        <f t="shared" si="4"/>
        <v>0</v>
      </c>
      <c r="I26" s="28">
        <f t="shared" ca="1" si="0"/>
        <v>0</v>
      </c>
      <c r="J26" s="29">
        <f>1</f>
        <v>1</v>
      </c>
      <c r="K26" s="16">
        <f t="shared" si="5"/>
        <v>0</v>
      </c>
      <c r="L26" s="16">
        <f t="shared" si="5"/>
        <v>0</v>
      </c>
      <c r="M26" s="16">
        <f t="shared" si="5"/>
        <v>0</v>
      </c>
      <c r="N26" s="16">
        <f t="shared" si="5"/>
        <v>0</v>
      </c>
      <c r="O26" s="28">
        <f t="shared" ca="1" si="1"/>
        <v>0</v>
      </c>
      <c r="P26" s="29">
        <f>1</f>
        <v>1</v>
      </c>
      <c r="Q26" s="16">
        <f t="shared" si="6"/>
        <v>0</v>
      </c>
      <c r="R26" s="16">
        <f t="shared" si="6"/>
        <v>0</v>
      </c>
      <c r="S26" s="16">
        <f t="shared" si="6"/>
        <v>0</v>
      </c>
      <c r="T26" s="16">
        <f t="shared" si="6"/>
        <v>0</v>
      </c>
      <c r="U26" s="28">
        <f t="shared" ca="1" si="2"/>
        <v>0</v>
      </c>
      <c r="V26" s="29">
        <f>1</f>
        <v>1</v>
      </c>
      <c r="W26" s="16">
        <f t="shared" si="7"/>
        <v>0</v>
      </c>
      <c r="X26" s="16">
        <f t="shared" si="7"/>
        <v>0</v>
      </c>
      <c r="Y26" s="16">
        <f t="shared" si="7"/>
        <v>0</v>
      </c>
      <c r="Z26" s="16">
        <f t="shared" si="7"/>
        <v>0</v>
      </c>
      <c r="AA26" s="28">
        <f t="shared" ca="1" si="3"/>
        <v>0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</row>
    <row r="27" spans="2:121" x14ac:dyDescent="0.25">
      <c r="B27" s="21" t="s">
        <v>4</v>
      </c>
      <c r="C27" s="21"/>
      <c r="D27" s="29">
        <f>1</f>
        <v>1</v>
      </c>
      <c r="E27" s="16">
        <f t="shared" si="4"/>
        <v>0</v>
      </c>
      <c r="F27" s="16">
        <f t="shared" si="4"/>
        <v>0</v>
      </c>
      <c r="G27" s="16">
        <f t="shared" si="4"/>
        <v>0</v>
      </c>
      <c r="H27" s="16">
        <f t="shared" si="4"/>
        <v>0</v>
      </c>
      <c r="I27" s="28">
        <f t="shared" ca="1" si="0"/>
        <v>0</v>
      </c>
      <c r="J27" s="29">
        <f>1</f>
        <v>1</v>
      </c>
      <c r="K27" s="16">
        <f t="shared" si="5"/>
        <v>0</v>
      </c>
      <c r="L27" s="16">
        <f t="shared" si="5"/>
        <v>0</v>
      </c>
      <c r="M27" s="16">
        <f t="shared" si="5"/>
        <v>0</v>
      </c>
      <c r="N27" s="16">
        <f t="shared" si="5"/>
        <v>0</v>
      </c>
      <c r="O27" s="28">
        <f t="shared" ca="1" si="1"/>
        <v>0</v>
      </c>
      <c r="P27" s="29">
        <f>1</f>
        <v>1</v>
      </c>
      <c r="Q27" s="16">
        <f t="shared" si="6"/>
        <v>0</v>
      </c>
      <c r="R27" s="16">
        <f t="shared" si="6"/>
        <v>0</v>
      </c>
      <c r="S27" s="16">
        <f t="shared" si="6"/>
        <v>0</v>
      </c>
      <c r="T27" s="16">
        <f t="shared" si="6"/>
        <v>0</v>
      </c>
      <c r="U27" s="28">
        <f t="shared" ca="1" si="2"/>
        <v>0</v>
      </c>
      <c r="V27" s="29">
        <f>1</f>
        <v>1</v>
      </c>
      <c r="W27" s="16">
        <f t="shared" si="7"/>
        <v>0</v>
      </c>
      <c r="X27" s="16">
        <f t="shared" si="7"/>
        <v>0</v>
      </c>
      <c r="Y27" s="16">
        <f t="shared" si="7"/>
        <v>0</v>
      </c>
      <c r="Z27" s="16">
        <f t="shared" si="7"/>
        <v>0</v>
      </c>
      <c r="AA27" s="28">
        <f t="shared" ca="1" si="3"/>
        <v>0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</row>
    <row r="28" spans="2:121" x14ac:dyDescent="0.25">
      <c r="B28" s="21" t="s">
        <v>4</v>
      </c>
      <c r="C28" s="21" t="s">
        <v>101</v>
      </c>
      <c r="D28" s="29">
        <f>1</f>
        <v>1</v>
      </c>
      <c r="E28" s="16">
        <f t="shared" si="4"/>
        <v>0</v>
      </c>
      <c r="F28" s="16">
        <f t="shared" si="4"/>
        <v>0</v>
      </c>
      <c r="G28" s="16">
        <f t="shared" si="4"/>
        <v>0</v>
      </c>
      <c r="H28" s="16">
        <f t="shared" si="4"/>
        <v>0</v>
      </c>
      <c r="I28" s="28">
        <f t="shared" ca="1" si="0"/>
        <v>0</v>
      </c>
      <c r="J28" s="29">
        <f>1</f>
        <v>1</v>
      </c>
      <c r="K28" s="16">
        <f t="shared" si="5"/>
        <v>0</v>
      </c>
      <c r="L28" s="16">
        <f t="shared" si="5"/>
        <v>0</v>
      </c>
      <c r="M28" s="16">
        <f t="shared" si="5"/>
        <v>0</v>
      </c>
      <c r="N28" s="16">
        <f t="shared" si="5"/>
        <v>0</v>
      </c>
      <c r="O28" s="28">
        <f t="shared" ca="1" si="1"/>
        <v>0</v>
      </c>
      <c r="P28" s="29">
        <f>1</f>
        <v>1</v>
      </c>
      <c r="Q28" s="16">
        <f t="shared" si="6"/>
        <v>0</v>
      </c>
      <c r="R28" s="16">
        <f t="shared" si="6"/>
        <v>0</v>
      </c>
      <c r="S28" s="16">
        <f t="shared" si="6"/>
        <v>0</v>
      </c>
      <c r="T28" s="16">
        <f t="shared" si="6"/>
        <v>0</v>
      </c>
      <c r="U28" s="28">
        <f t="shared" ca="1" si="2"/>
        <v>0</v>
      </c>
      <c r="V28" s="29">
        <f>1</f>
        <v>1</v>
      </c>
      <c r="W28" s="16">
        <f t="shared" si="7"/>
        <v>0</v>
      </c>
      <c r="X28" s="16">
        <f t="shared" si="7"/>
        <v>0</v>
      </c>
      <c r="Y28" s="16">
        <f t="shared" si="7"/>
        <v>0</v>
      </c>
      <c r="Z28" s="16">
        <f t="shared" si="7"/>
        <v>0</v>
      </c>
      <c r="AA28" s="28">
        <f t="shared" ca="1" si="3"/>
        <v>0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</row>
    <row r="29" spans="2:121" x14ac:dyDescent="0.25">
      <c r="B29" s="20" t="s">
        <v>101</v>
      </c>
      <c r="C29" s="20"/>
      <c r="D29" s="42">
        <f t="shared" ref="D29:AA29" si="8">SUM(D30:D35)</f>
        <v>6</v>
      </c>
      <c r="E29" s="43">
        <f t="shared" si="8"/>
        <v>0</v>
      </c>
      <c r="F29" s="43">
        <f t="shared" si="8"/>
        <v>0</v>
      </c>
      <c r="G29" s="43">
        <f t="shared" si="8"/>
        <v>0</v>
      </c>
      <c r="H29" s="43">
        <f t="shared" si="8"/>
        <v>0</v>
      </c>
      <c r="I29" s="44">
        <f t="shared" ca="1" si="8"/>
        <v>0</v>
      </c>
      <c r="J29" s="45">
        <f t="shared" si="8"/>
        <v>6</v>
      </c>
      <c r="K29" s="43">
        <f t="shared" si="8"/>
        <v>0</v>
      </c>
      <c r="L29" s="43">
        <f t="shared" si="8"/>
        <v>0</v>
      </c>
      <c r="M29" s="43">
        <f t="shared" si="8"/>
        <v>0</v>
      </c>
      <c r="N29" s="43">
        <f t="shared" si="8"/>
        <v>0</v>
      </c>
      <c r="O29" s="44">
        <f t="shared" ca="1" si="8"/>
        <v>0</v>
      </c>
      <c r="P29" s="45">
        <f t="shared" si="8"/>
        <v>6</v>
      </c>
      <c r="Q29" s="43">
        <f t="shared" si="8"/>
        <v>0</v>
      </c>
      <c r="R29" s="43">
        <f t="shared" si="8"/>
        <v>0</v>
      </c>
      <c r="S29" s="43">
        <f t="shared" si="8"/>
        <v>0</v>
      </c>
      <c r="T29" s="43">
        <f t="shared" si="8"/>
        <v>0</v>
      </c>
      <c r="U29" s="44">
        <f t="shared" ca="1" si="8"/>
        <v>0</v>
      </c>
      <c r="V29" s="45">
        <f t="shared" si="8"/>
        <v>6</v>
      </c>
      <c r="W29" s="43">
        <f t="shared" si="8"/>
        <v>0</v>
      </c>
      <c r="X29" s="43">
        <f t="shared" si="8"/>
        <v>0</v>
      </c>
      <c r="Y29" s="43">
        <f t="shared" si="8"/>
        <v>0</v>
      </c>
      <c r="Z29" s="43">
        <f t="shared" si="8"/>
        <v>0</v>
      </c>
      <c r="AA29" s="46">
        <f t="shared" ca="1" si="8"/>
        <v>0</v>
      </c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</row>
    <row r="30" spans="2:121" outlineLevel="1" x14ac:dyDescent="0.25">
      <c r="B30" s="21" t="s">
        <v>5</v>
      </c>
      <c r="C30" s="21" t="s">
        <v>101</v>
      </c>
      <c r="D30" s="29">
        <f>1</f>
        <v>1</v>
      </c>
      <c r="E30" s="16"/>
      <c r="F30" s="16"/>
      <c r="G30" s="16"/>
      <c r="H30" s="16"/>
      <c r="I30" s="28">
        <f t="shared" ref="I30:I43" ca="1" si="9">IFERROR(IF(INDIRECT(ADDRESS(ROW(),COLUMN()-7))="SA_0001",INDIRECT(ADDRESS(ROW()-7,COLUMN()))/INDIRECT(ADDRESS(ROW()-35,COLUMN())),SUM(E30:H30)),0)</f>
        <v>0</v>
      </c>
      <c r="J30" s="29">
        <f>1</f>
        <v>1</v>
      </c>
      <c r="K30" s="16"/>
      <c r="L30" s="16"/>
      <c r="M30" s="16"/>
      <c r="N30" s="16"/>
      <c r="O30" s="28">
        <f t="shared" ref="O30:O43" ca="1" si="10">IFERROR(IF(INDIRECT(ADDRESS(ROW(),COLUMN()-13))="SA_0001",INDIRECT(ADDRESS(ROW()-7,COLUMN()))/INDIRECT(ADDRESS(ROW()-35,COLUMN())),SUM(K30:N30)),0)</f>
        <v>0</v>
      </c>
      <c r="P30" s="29">
        <f>1</f>
        <v>1</v>
      </c>
      <c r="Q30" s="16"/>
      <c r="R30" s="16"/>
      <c r="S30" s="16"/>
      <c r="T30" s="16"/>
      <c r="U30" s="28">
        <f t="shared" ref="U30:U43" ca="1" si="11">IFERROR(IF(INDIRECT(ADDRESS(ROW(),COLUMN()-19))="SA_0001",INDIRECT(ADDRESS(ROW()-7,COLUMN()))/INDIRECT(ADDRESS(ROW()-35,COLUMN())),SUM(Q30:T30)),0)</f>
        <v>0</v>
      </c>
      <c r="V30" s="29">
        <f>1</f>
        <v>1</v>
      </c>
      <c r="W30" s="16"/>
      <c r="X30" s="16"/>
      <c r="Y30" s="16"/>
      <c r="Z30" s="16"/>
      <c r="AA30" s="28">
        <f t="shared" ref="AA30:AA43" ca="1" si="12">IFERROR(IF(INDIRECT(ADDRESS(ROW(),COLUMN()-25))="SA_0001",INDIRECT(ADDRESS(ROW()-7,COLUMN()))/INDIRECT(ADDRESS(ROW()-35,COLUMN())),SUM(W30:Z30)),0)</f>
        <v>0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</row>
    <row r="31" spans="2:121" outlineLevel="1" x14ac:dyDescent="0.25">
      <c r="B31" s="21" t="s">
        <v>5</v>
      </c>
      <c r="C31" s="21" t="s">
        <v>101</v>
      </c>
      <c r="D31" s="29">
        <f>1</f>
        <v>1</v>
      </c>
      <c r="E31" s="16"/>
      <c r="F31" s="16"/>
      <c r="G31" s="16"/>
      <c r="H31" s="16"/>
      <c r="I31" s="28">
        <f t="shared" ca="1" si="9"/>
        <v>0</v>
      </c>
      <c r="J31" s="29">
        <f>1</f>
        <v>1</v>
      </c>
      <c r="K31" s="16"/>
      <c r="L31" s="16"/>
      <c r="M31" s="16"/>
      <c r="N31" s="16"/>
      <c r="O31" s="28">
        <f t="shared" ca="1" si="10"/>
        <v>0</v>
      </c>
      <c r="P31" s="29">
        <f>1</f>
        <v>1</v>
      </c>
      <c r="Q31" s="16"/>
      <c r="R31" s="16"/>
      <c r="S31" s="16"/>
      <c r="T31" s="16"/>
      <c r="U31" s="28">
        <f t="shared" ca="1" si="11"/>
        <v>0</v>
      </c>
      <c r="V31" s="29">
        <f>1</f>
        <v>1</v>
      </c>
      <c r="W31" s="16"/>
      <c r="X31" s="16"/>
      <c r="Y31" s="16"/>
      <c r="Z31" s="16"/>
      <c r="AA31" s="28">
        <f t="shared" ca="1" si="12"/>
        <v>0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</row>
    <row r="32" spans="2:121" outlineLevel="1" x14ac:dyDescent="0.25">
      <c r="B32" s="21" t="s">
        <v>5</v>
      </c>
      <c r="C32" s="21"/>
      <c r="D32" s="29">
        <f>1</f>
        <v>1</v>
      </c>
      <c r="E32" s="16"/>
      <c r="F32" s="16"/>
      <c r="G32" s="16"/>
      <c r="H32" s="16"/>
      <c r="I32" s="28">
        <f t="shared" ca="1" si="9"/>
        <v>0</v>
      </c>
      <c r="J32" s="29">
        <f>1</f>
        <v>1</v>
      </c>
      <c r="K32" s="16"/>
      <c r="L32" s="16"/>
      <c r="M32" s="16"/>
      <c r="N32" s="16"/>
      <c r="O32" s="28">
        <f t="shared" ca="1" si="10"/>
        <v>0</v>
      </c>
      <c r="P32" s="29">
        <f>1</f>
        <v>1</v>
      </c>
      <c r="Q32" s="16"/>
      <c r="R32" s="16"/>
      <c r="S32" s="16"/>
      <c r="T32" s="16"/>
      <c r="U32" s="28">
        <f t="shared" ca="1" si="11"/>
        <v>0</v>
      </c>
      <c r="V32" s="29">
        <f>1</f>
        <v>1</v>
      </c>
      <c r="W32" s="16"/>
      <c r="X32" s="16"/>
      <c r="Y32" s="16"/>
      <c r="Z32" s="16"/>
      <c r="AA32" s="28">
        <f t="shared" ca="1" si="12"/>
        <v>0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</row>
    <row r="33" spans="2:121" outlineLevel="1" x14ac:dyDescent="0.25">
      <c r="B33" s="21" t="s">
        <v>5</v>
      </c>
      <c r="C33" s="21"/>
      <c r="D33" s="29">
        <f>1</f>
        <v>1</v>
      </c>
      <c r="E33" s="16"/>
      <c r="F33" s="16"/>
      <c r="G33" s="16"/>
      <c r="H33" s="16"/>
      <c r="I33" s="28">
        <f t="shared" ca="1" si="9"/>
        <v>0</v>
      </c>
      <c r="J33" s="29">
        <f>1</f>
        <v>1</v>
      </c>
      <c r="K33" s="16"/>
      <c r="L33" s="16"/>
      <c r="M33" s="16"/>
      <c r="N33" s="16"/>
      <c r="O33" s="28">
        <f t="shared" ca="1" si="10"/>
        <v>0</v>
      </c>
      <c r="P33" s="29">
        <f>1</f>
        <v>1</v>
      </c>
      <c r="Q33" s="16"/>
      <c r="R33" s="16"/>
      <c r="S33" s="16"/>
      <c r="T33" s="16"/>
      <c r="U33" s="28">
        <f t="shared" ca="1" si="11"/>
        <v>0</v>
      </c>
      <c r="V33" s="29">
        <f>1</f>
        <v>1</v>
      </c>
      <c r="W33" s="16"/>
      <c r="X33" s="16"/>
      <c r="Y33" s="16"/>
      <c r="Z33" s="16"/>
      <c r="AA33" s="28">
        <f t="shared" ca="1" si="12"/>
        <v>0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</row>
    <row r="34" spans="2:121" outlineLevel="1" x14ac:dyDescent="0.25">
      <c r="B34" s="21" t="s">
        <v>5</v>
      </c>
      <c r="C34" s="21"/>
      <c r="D34" s="29">
        <f>1</f>
        <v>1</v>
      </c>
      <c r="E34" s="16"/>
      <c r="F34" s="16"/>
      <c r="G34" s="16"/>
      <c r="H34" s="16"/>
      <c r="I34" s="28">
        <f t="shared" ca="1" si="9"/>
        <v>0</v>
      </c>
      <c r="J34" s="29">
        <f>1</f>
        <v>1</v>
      </c>
      <c r="K34" s="16"/>
      <c r="L34" s="16"/>
      <c r="M34" s="16"/>
      <c r="N34" s="16"/>
      <c r="O34" s="28">
        <f t="shared" ca="1" si="10"/>
        <v>0</v>
      </c>
      <c r="P34" s="29">
        <f>1</f>
        <v>1</v>
      </c>
      <c r="Q34" s="16"/>
      <c r="R34" s="16"/>
      <c r="S34" s="16"/>
      <c r="T34" s="16"/>
      <c r="U34" s="28">
        <f t="shared" ca="1" si="11"/>
        <v>0</v>
      </c>
      <c r="V34" s="29">
        <f>1</f>
        <v>1</v>
      </c>
      <c r="W34" s="16"/>
      <c r="X34" s="16"/>
      <c r="Y34" s="16"/>
      <c r="Z34" s="16"/>
      <c r="AA34" s="28">
        <f t="shared" ca="1" si="12"/>
        <v>0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</row>
    <row r="35" spans="2:121" outlineLevel="1" x14ac:dyDescent="0.25">
      <c r="B35" s="21" t="s">
        <v>5</v>
      </c>
      <c r="C35" s="21" t="s">
        <v>101</v>
      </c>
      <c r="D35" s="29">
        <f>1</f>
        <v>1</v>
      </c>
      <c r="E35" s="16"/>
      <c r="F35" s="16"/>
      <c r="G35" s="16"/>
      <c r="H35" s="16"/>
      <c r="I35" s="28">
        <f t="shared" ca="1" si="9"/>
        <v>0</v>
      </c>
      <c r="J35" s="29">
        <f>1</f>
        <v>1</v>
      </c>
      <c r="K35" s="16"/>
      <c r="L35" s="16"/>
      <c r="M35" s="16"/>
      <c r="N35" s="16"/>
      <c r="O35" s="28">
        <f t="shared" ca="1" si="10"/>
        <v>0</v>
      </c>
      <c r="P35" s="29">
        <f>1</f>
        <v>1</v>
      </c>
      <c r="Q35" s="16"/>
      <c r="R35" s="16"/>
      <c r="S35" s="16"/>
      <c r="T35" s="16"/>
      <c r="U35" s="28">
        <f t="shared" ca="1" si="11"/>
        <v>0</v>
      </c>
      <c r="V35" s="29">
        <f>1</f>
        <v>1</v>
      </c>
      <c r="W35" s="16"/>
      <c r="X35" s="16"/>
      <c r="Y35" s="16"/>
      <c r="Z35" s="16"/>
      <c r="AA35" s="28">
        <f t="shared" ca="1" si="12"/>
        <v>0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</row>
    <row r="36" spans="2:121" hidden="1" x14ac:dyDescent="0.25">
      <c r="B36" s="18" t="s">
        <v>101</v>
      </c>
      <c r="C36" s="18"/>
      <c r="D36" s="32">
        <f>1</f>
        <v>1</v>
      </c>
      <c r="E36" s="17">
        <f>SUM(E37:E42)</f>
        <v>0</v>
      </c>
      <c r="F36" s="17">
        <f>SUM(F37:F42)</f>
        <v>0</v>
      </c>
      <c r="G36" s="17">
        <f>SUM(G37:G42)</f>
        <v>0</v>
      </c>
      <c r="H36" s="17">
        <f>SUM(H37:H42)</f>
        <v>0</v>
      </c>
      <c r="I36" s="33">
        <f t="shared" ca="1" si="9"/>
        <v>0</v>
      </c>
      <c r="J36" s="32">
        <f>1</f>
        <v>1</v>
      </c>
      <c r="K36" s="17">
        <f>SUM(K37:K42)</f>
        <v>0</v>
      </c>
      <c r="L36" s="17">
        <f>SUM(L37:L42)</f>
        <v>0</v>
      </c>
      <c r="M36" s="17">
        <f>SUM(M37:M42)</f>
        <v>0</v>
      </c>
      <c r="N36" s="17">
        <f>SUM(N37:N42)</f>
        <v>0</v>
      </c>
      <c r="O36" s="33">
        <f t="shared" ca="1" si="10"/>
        <v>0</v>
      </c>
      <c r="P36" s="32">
        <f>1</f>
        <v>1</v>
      </c>
      <c r="Q36" s="17">
        <f>SUM(Q37:Q42)</f>
        <v>0</v>
      </c>
      <c r="R36" s="17">
        <f>SUM(R37:R42)</f>
        <v>0</v>
      </c>
      <c r="S36" s="17">
        <f>SUM(S37:S42)</f>
        <v>0</v>
      </c>
      <c r="T36" s="17">
        <f>SUM(T37:T42)</f>
        <v>0</v>
      </c>
      <c r="U36" s="33">
        <f t="shared" ca="1" si="11"/>
        <v>0</v>
      </c>
      <c r="V36" s="32">
        <f>1</f>
        <v>1</v>
      </c>
      <c r="W36" s="17">
        <f>SUM(W37:W42)</f>
        <v>0</v>
      </c>
      <c r="X36" s="17">
        <f>SUM(X37:X42)</f>
        <v>0</v>
      </c>
      <c r="Y36" s="17">
        <f>SUM(Y37:Y42)</f>
        <v>0</v>
      </c>
      <c r="Z36" s="17">
        <f>SUM(Z37:Z42)</f>
        <v>0</v>
      </c>
      <c r="AA36" s="33">
        <f t="shared" ca="1" si="12"/>
        <v>0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</row>
    <row r="37" spans="2:121" hidden="1" x14ac:dyDescent="0.25">
      <c r="B37" s="21" t="s">
        <v>4</v>
      </c>
      <c r="C37" s="21" t="s">
        <v>101</v>
      </c>
      <c r="D37" s="29">
        <f>1</f>
        <v>1</v>
      </c>
      <c r="E37" s="16"/>
      <c r="F37" s="16"/>
      <c r="G37" s="16"/>
      <c r="H37" s="16"/>
      <c r="I37" s="28">
        <f t="shared" ca="1" si="9"/>
        <v>0</v>
      </c>
      <c r="J37" s="29">
        <f>1</f>
        <v>1</v>
      </c>
      <c r="K37" s="16"/>
      <c r="L37" s="16"/>
      <c r="M37" s="16"/>
      <c r="N37" s="16"/>
      <c r="O37" s="28">
        <f t="shared" ca="1" si="10"/>
        <v>0</v>
      </c>
      <c r="P37" s="29">
        <f>1</f>
        <v>1</v>
      </c>
      <c r="Q37" s="16"/>
      <c r="R37" s="16"/>
      <c r="S37" s="16"/>
      <c r="T37" s="16"/>
      <c r="U37" s="28">
        <f t="shared" ca="1" si="11"/>
        <v>0</v>
      </c>
      <c r="V37" s="29">
        <f>1</f>
        <v>1</v>
      </c>
      <c r="W37" s="16"/>
      <c r="X37" s="16"/>
      <c r="Y37" s="16"/>
      <c r="Z37" s="16"/>
      <c r="AA37" s="28">
        <f t="shared" ca="1" si="12"/>
        <v>0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</row>
    <row r="38" spans="2:121" hidden="1" x14ac:dyDescent="0.25">
      <c r="B38" s="21" t="s">
        <v>4</v>
      </c>
      <c r="C38" s="21" t="s">
        <v>101</v>
      </c>
      <c r="D38" s="29">
        <f>1</f>
        <v>1</v>
      </c>
      <c r="E38" s="16"/>
      <c r="F38" s="16"/>
      <c r="G38" s="16"/>
      <c r="H38" s="16"/>
      <c r="I38" s="28">
        <f t="shared" ca="1" si="9"/>
        <v>0</v>
      </c>
      <c r="J38" s="29">
        <f>1</f>
        <v>1</v>
      </c>
      <c r="K38" s="16"/>
      <c r="L38" s="16"/>
      <c r="M38" s="16"/>
      <c r="N38" s="16"/>
      <c r="O38" s="28">
        <f t="shared" ca="1" si="10"/>
        <v>0</v>
      </c>
      <c r="P38" s="29">
        <f>1</f>
        <v>1</v>
      </c>
      <c r="Q38" s="16"/>
      <c r="R38" s="16"/>
      <c r="S38" s="16"/>
      <c r="T38" s="16"/>
      <c r="U38" s="28">
        <f t="shared" ca="1" si="11"/>
        <v>0</v>
      </c>
      <c r="V38" s="29">
        <f>1</f>
        <v>1</v>
      </c>
      <c r="W38" s="16"/>
      <c r="X38" s="16"/>
      <c r="Y38" s="16"/>
      <c r="Z38" s="16"/>
      <c r="AA38" s="28">
        <f t="shared" ca="1" si="12"/>
        <v>0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</row>
    <row r="39" spans="2:121" hidden="1" x14ac:dyDescent="0.25">
      <c r="B39" s="21" t="s">
        <v>4</v>
      </c>
      <c r="C39" s="21"/>
      <c r="D39" s="29">
        <f>1</f>
        <v>1</v>
      </c>
      <c r="E39" s="16"/>
      <c r="F39" s="16"/>
      <c r="G39" s="16"/>
      <c r="H39" s="16"/>
      <c r="I39" s="28">
        <f t="shared" ca="1" si="9"/>
        <v>0</v>
      </c>
      <c r="J39" s="29">
        <f>1</f>
        <v>1</v>
      </c>
      <c r="K39" s="16"/>
      <c r="L39" s="16"/>
      <c r="M39" s="16"/>
      <c r="N39" s="16"/>
      <c r="O39" s="28">
        <f t="shared" ca="1" si="10"/>
        <v>0</v>
      </c>
      <c r="P39" s="29">
        <f>1</f>
        <v>1</v>
      </c>
      <c r="Q39" s="16"/>
      <c r="R39" s="16"/>
      <c r="S39" s="16"/>
      <c r="T39" s="16"/>
      <c r="U39" s="28">
        <f t="shared" ca="1" si="11"/>
        <v>0</v>
      </c>
      <c r="V39" s="29">
        <f>1</f>
        <v>1</v>
      </c>
      <c r="W39" s="16"/>
      <c r="X39" s="16"/>
      <c r="Y39" s="16"/>
      <c r="Z39" s="16"/>
      <c r="AA39" s="28">
        <f t="shared" ca="1" si="12"/>
        <v>0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</row>
    <row r="40" spans="2:121" hidden="1" x14ac:dyDescent="0.25">
      <c r="B40" s="21" t="s">
        <v>4</v>
      </c>
      <c r="C40" s="21"/>
      <c r="D40" s="29">
        <f>1</f>
        <v>1</v>
      </c>
      <c r="E40" s="16"/>
      <c r="F40" s="16"/>
      <c r="G40" s="16"/>
      <c r="H40" s="16"/>
      <c r="I40" s="28">
        <f t="shared" ca="1" si="9"/>
        <v>0</v>
      </c>
      <c r="J40" s="29">
        <f>1</f>
        <v>1</v>
      </c>
      <c r="K40" s="16"/>
      <c r="L40" s="16"/>
      <c r="M40" s="16"/>
      <c r="N40" s="16"/>
      <c r="O40" s="28">
        <f t="shared" ca="1" si="10"/>
        <v>0</v>
      </c>
      <c r="P40" s="29">
        <f>1</f>
        <v>1</v>
      </c>
      <c r="Q40" s="16"/>
      <c r="R40" s="16"/>
      <c r="S40" s="16"/>
      <c r="T40" s="16"/>
      <c r="U40" s="28">
        <f t="shared" ca="1" si="11"/>
        <v>0</v>
      </c>
      <c r="V40" s="29">
        <f>1</f>
        <v>1</v>
      </c>
      <c r="W40" s="16"/>
      <c r="X40" s="16"/>
      <c r="Y40" s="16"/>
      <c r="Z40" s="16"/>
      <c r="AA40" s="28">
        <f t="shared" ca="1" si="12"/>
        <v>0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</row>
    <row r="41" spans="2:121" hidden="1" x14ac:dyDescent="0.25">
      <c r="B41" s="21" t="s">
        <v>4</v>
      </c>
      <c r="C41" s="21"/>
      <c r="D41" s="29">
        <f>1</f>
        <v>1</v>
      </c>
      <c r="E41" s="16"/>
      <c r="F41" s="16"/>
      <c r="G41" s="16"/>
      <c r="H41" s="16"/>
      <c r="I41" s="28">
        <f t="shared" ca="1" si="9"/>
        <v>0</v>
      </c>
      <c r="J41" s="29">
        <f>1</f>
        <v>1</v>
      </c>
      <c r="K41" s="16"/>
      <c r="L41" s="16"/>
      <c r="M41" s="16"/>
      <c r="N41" s="16"/>
      <c r="O41" s="28">
        <f t="shared" ca="1" si="10"/>
        <v>0</v>
      </c>
      <c r="P41" s="29">
        <f>1</f>
        <v>1</v>
      </c>
      <c r="Q41" s="16"/>
      <c r="R41" s="16"/>
      <c r="S41" s="16"/>
      <c r="T41" s="16"/>
      <c r="U41" s="28">
        <f t="shared" ca="1" si="11"/>
        <v>0</v>
      </c>
      <c r="V41" s="29">
        <f>1</f>
        <v>1</v>
      </c>
      <c r="W41" s="16"/>
      <c r="X41" s="16"/>
      <c r="Y41" s="16"/>
      <c r="Z41" s="16"/>
      <c r="AA41" s="28">
        <f t="shared" ca="1" si="12"/>
        <v>0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</row>
    <row r="42" spans="2:121" hidden="1" x14ac:dyDescent="0.25">
      <c r="B42" s="21" t="s">
        <v>4</v>
      </c>
      <c r="C42" s="21" t="s">
        <v>101</v>
      </c>
      <c r="D42" s="29">
        <f>1</f>
        <v>1</v>
      </c>
      <c r="E42" s="16"/>
      <c r="F42" s="16"/>
      <c r="G42" s="16"/>
      <c r="H42" s="16"/>
      <c r="I42" s="28">
        <f t="shared" ca="1" si="9"/>
        <v>0</v>
      </c>
      <c r="J42" s="29">
        <f>1</f>
        <v>1</v>
      </c>
      <c r="K42" s="16"/>
      <c r="L42" s="16"/>
      <c r="M42" s="16"/>
      <c r="N42" s="16"/>
      <c r="O42" s="28">
        <f t="shared" ca="1" si="10"/>
        <v>0</v>
      </c>
      <c r="P42" s="29">
        <f>1</f>
        <v>1</v>
      </c>
      <c r="Q42" s="16"/>
      <c r="R42" s="16"/>
      <c r="S42" s="16"/>
      <c r="T42" s="16"/>
      <c r="U42" s="28">
        <f t="shared" ca="1" si="11"/>
        <v>0</v>
      </c>
      <c r="V42" s="29">
        <f>1</f>
        <v>1</v>
      </c>
      <c r="W42" s="16"/>
      <c r="X42" s="16"/>
      <c r="Y42" s="16"/>
      <c r="Z42" s="16"/>
      <c r="AA42" s="28">
        <f t="shared" ca="1" si="12"/>
        <v>0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</row>
    <row r="43" spans="2:121" x14ac:dyDescent="0.25">
      <c r="B43" s="18" t="s">
        <v>101</v>
      </c>
      <c r="C43" s="18"/>
      <c r="D43" s="32">
        <f>1</f>
        <v>1</v>
      </c>
      <c r="E43" s="17">
        <f>SUM(E44:E49)</f>
        <v>0</v>
      </c>
      <c r="F43" s="17">
        <f>SUM(F44:F49)</f>
        <v>0</v>
      </c>
      <c r="G43" s="17">
        <f>SUM(G44:G49)</f>
        <v>0</v>
      </c>
      <c r="H43" s="17">
        <f>SUM(H44:H49)</f>
        <v>0</v>
      </c>
      <c r="I43" s="33">
        <f t="shared" ca="1" si="9"/>
        <v>0</v>
      </c>
      <c r="J43" s="32">
        <f>1</f>
        <v>1</v>
      </c>
      <c r="K43" s="17">
        <f>SUM(K44:K49)</f>
        <v>0</v>
      </c>
      <c r="L43" s="17">
        <f>SUM(L44:L49)</f>
        <v>0</v>
      </c>
      <c r="M43" s="17">
        <f>SUM(M44:M49)</f>
        <v>0</v>
      </c>
      <c r="N43" s="17">
        <f>SUM(N44:N49)</f>
        <v>0</v>
      </c>
      <c r="O43" s="33">
        <f t="shared" ca="1" si="10"/>
        <v>0</v>
      </c>
      <c r="P43" s="32">
        <f>1</f>
        <v>1</v>
      </c>
      <c r="Q43" s="17">
        <f>SUM(Q44:Q49)</f>
        <v>0</v>
      </c>
      <c r="R43" s="17">
        <f>SUM(R44:R49)</f>
        <v>0</v>
      </c>
      <c r="S43" s="17">
        <f>SUM(S44:S49)</f>
        <v>0</v>
      </c>
      <c r="T43" s="17">
        <f>SUM(T44:T49)</f>
        <v>0</v>
      </c>
      <c r="U43" s="33">
        <f t="shared" ca="1" si="11"/>
        <v>0</v>
      </c>
      <c r="V43" s="32">
        <f>1</f>
        <v>1</v>
      </c>
      <c r="W43" s="17">
        <f>SUM(W44:W49)</f>
        <v>0</v>
      </c>
      <c r="X43" s="17">
        <f>SUM(X44:X49)</f>
        <v>0</v>
      </c>
      <c r="Y43" s="17">
        <f>SUM(Y44:Y49)</f>
        <v>0</v>
      </c>
      <c r="Z43" s="17">
        <f>SUM(Z44:Z49)</f>
        <v>0</v>
      </c>
      <c r="AA43" s="33">
        <f t="shared" ca="1" si="12"/>
        <v>0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</row>
    <row r="44" spans="2:121" x14ac:dyDescent="0.25">
      <c r="B44" s="21" t="s">
        <v>101</v>
      </c>
      <c r="C44" s="21"/>
      <c r="D44" s="29">
        <f t="shared" ref="D44:AA44" si="13">SUM(D16,D23)</f>
        <v>2</v>
      </c>
      <c r="E44" s="16">
        <f t="shared" si="13"/>
        <v>0</v>
      </c>
      <c r="F44" s="16">
        <f t="shared" si="13"/>
        <v>0</v>
      </c>
      <c r="G44" s="16">
        <f t="shared" si="13"/>
        <v>0</v>
      </c>
      <c r="H44" s="16">
        <f t="shared" si="13"/>
        <v>0</v>
      </c>
      <c r="I44" s="28">
        <f t="shared" ca="1" si="13"/>
        <v>0</v>
      </c>
      <c r="J44" s="29">
        <f t="shared" si="13"/>
        <v>2</v>
      </c>
      <c r="K44" s="16">
        <f t="shared" si="13"/>
        <v>0</v>
      </c>
      <c r="L44" s="16">
        <f t="shared" si="13"/>
        <v>0</v>
      </c>
      <c r="M44" s="16">
        <f t="shared" si="13"/>
        <v>0</v>
      </c>
      <c r="N44" s="16">
        <f t="shared" si="13"/>
        <v>0</v>
      </c>
      <c r="O44" s="28">
        <f t="shared" ca="1" si="13"/>
        <v>0</v>
      </c>
      <c r="P44" s="29">
        <f t="shared" si="13"/>
        <v>2</v>
      </c>
      <c r="Q44" s="16">
        <f t="shared" si="13"/>
        <v>0</v>
      </c>
      <c r="R44" s="16">
        <f t="shared" si="13"/>
        <v>0</v>
      </c>
      <c r="S44" s="16">
        <f t="shared" si="13"/>
        <v>0</v>
      </c>
      <c r="T44" s="16">
        <f t="shared" si="13"/>
        <v>0</v>
      </c>
      <c r="U44" s="28">
        <f t="shared" ca="1" si="13"/>
        <v>0</v>
      </c>
      <c r="V44" s="29">
        <f t="shared" si="13"/>
        <v>2</v>
      </c>
      <c r="W44" s="16">
        <f t="shared" si="13"/>
        <v>0</v>
      </c>
      <c r="X44" s="16">
        <f t="shared" si="13"/>
        <v>0</v>
      </c>
      <c r="Y44" s="16">
        <f t="shared" si="13"/>
        <v>0</v>
      </c>
      <c r="Z44" s="16">
        <f t="shared" si="13"/>
        <v>0</v>
      </c>
      <c r="AA44" s="28">
        <f t="shared" ca="1" si="13"/>
        <v>0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</row>
    <row r="45" spans="2:121" x14ac:dyDescent="0.25">
      <c r="B45" s="21" t="s">
        <v>101</v>
      </c>
      <c r="C45" s="21"/>
      <c r="D45" s="29">
        <f t="shared" ref="D45:AA45" si="14">SUM(D17,D24)</f>
        <v>2</v>
      </c>
      <c r="E45" s="16">
        <f t="shared" si="14"/>
        <v>0</v>
      </c>
      <c r="F45" s="16">
        <f t="shared" si="14"/>
        <v>0</v>
      </c>
      <c r="G45" s="16">
        <f t="shared" si="14"/>
        <v>0</v>
      </c>
      <c r="H45" s="16">
        <f t="shared" si="14"/>
        <v>0</v>
      </c>
      <c r="I45" s="28">
        <f t="shared" ca="1" si="14"/>
        <v>0</v>
      </c>
      <c r="J45" s="29">
        <f t="shared" si="14"/>
        <v>2</v>
      </c>
      <c r="K45" s="16">
        <f t="shared" si="14"/>
        <v>0</v>
      </c>
      <c r="L45" s="16">
        <f t="shared" si="14"/>
        <v>0</v>
      </c>
      <c r="M45" s="16">
        <f t="shared" si="14"/>
        <v>0</v>
      </c>
      <c r="N45" s="16">
        <f t="shared" si="14"/>
        <v>0</v>
      </c>
      <c r="O45" s="28">
        <f t="shared" ca="1" si="14"/>
        <v>0</v>
      </c>
      <c r="P45" s="29">
        <f t="shared" si="14"/>
        <v>2</v>
      </c>
      <c r="Q45" s="16">
        <f t="shared" si="14"/>
        <v>0</v>
      </c>
      <c r="R45" s="16">
        <f t="shared" si="14"/>
        <v>0</v>
      </c>
      <c r="S45" s="16">
        <f t="shared" si="14"/>
        <v>0</v>
      </c>
      <c r="T45" s="16">
        <f t="shared" si="14"/>
        <v>0</v>
      </c>
      <c r="U45" s="28">
        <f t="shared" ca="1" si="14"/>
        <v>0</v>
      </c>
      <c r="V45" s="29">
        <f t="shared" si="14"/>
        <v>2</v>
      </c>
      <c r="W45" s="16">
        <f t="shared" si="14"/>
        <v>0</v>
      </c>
      <c r="X45" s="16">
        <f t="shared" si="14"/>
        <v>0</v>
      </c>
      <c r="Y45" s="16">
        <f t="shared" si="14"/>
        <v>0</v>
      </c>
      <c r="Z45" s="16">
        <f t="shared" si="14"/>
        <v>0</v>
      </c>
      <c r="AA45" s="28">
        <f t="shared" ca="1" si="14"/>
        <v>0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</row>
    <row r="46" spans="2:121" x14ac:dyDescent="0.25">
      <c r="B46" s="21" t="s">
        <v>101</v>
      </c>
      <c r="C46" s="21"/>
      <c r="D46" s="29">
        <f t="shared" ref="D46:AA46" si="15">SUM(D18,D25)</f>
        <v>2</v>
      </c>
      <c r="E46" s="16">
        <f t="shared" si="15"/>
        <v>0</v>
      </c>
      <c r="F46" s="16">
        <f t="shared" si="15"/>
        <v>0</v>
      </c>
      <c r="G46" s="16">
        <f t="shared" si="15"/>
        <v>0</v>
      </c>
      <c r="H46" s="16">
        <f t="shared" si="15"/>
        <v>0</v>
      </c>
      <c r="I46" s="28">
        <f t="shared" ca="1" si="15"/>
        <v>0</v>
      </c>
      <c r="J46" s="29">
        <f t="shared" si="15"/>
        <v>2</v>
      </c>
      <c r="K46" s="16">
        <f t="shared" si="15"/>
        <v>0</v>
      </c>
      <c r="L46" s="16">
        <f t="shared" si="15"/>
        <v>0</v>
      </c>
      <c r="M46" s="16">
        <f t="shared" si="15"/>
        <v>0</v>
      </c>
      <c r="N46" s="16">
        <f t="shared" si="15"/>
        <v>0</v>
      </c>
      <c r="O46" s="28">
        <f t="shared" ca="1" si="15"/>
        <v>0</v>
      </c>
      <c r="P46" s="29">
        <f t="shared" si="15"/>
        <v>2</v>
      </c>
      <c r="Q46" s="16">
        <f t="shared" si="15"/>
        <v>0</v>
      </c>
      <c r="R46" s="16">
        <f t="shared" si="15"/>
        <v>0</v>
      </c>
      <c r="S46" s="16">
        <f t="shared" si="15"/>
        <v>0</v>
      </c>
      <c r="T46" s="16">
        <f t="shared" si="15"/>
        <v>0</v>
      </c>
      <c r="U46" s="28">
        <f t="shared" ca="1" si="15"/>
        <v>0</v>
      </c>
      <c r="V46" s="29">
        <f t="shared" si="15"/>
        <v>2</v>
      </c>
      <c r="W46" s="16">
        <f t="shared" si="15"/>
        <v>0</v>
      </c>
      <c r="X46" s="16">
        <f t="shared" si="15"/>
        <v>0</v>
      </c>
      <c r="Y46" s="16">
        <f t="shared" si="15"/>
        <v>0</v>
      </c>
      <c r="Z46" s="16">
        <f t="shared" si="15"/>
        <v>0</v>
      </c>
      <c r="AA46" s="28">
        <f t="shared" ca="1" si="15"/>
        <v>0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</row>
    <row r="47" spans="2:121" x14ac:dyDescent="0.25">
      <c r="B47" s="21" t="s">
        <v>101</v>
      </c>
      <c r="C47" s="21"/>
      <c r="D47" s="29">
        <f t="shared" ref="D47:AA47" si="16">SUM(D19,D26)</f>
        <v>2</v>
      </c>
      <c r="E47" s="16">
        <f t="shared" si="16"/>
        <v>0</v>
      </c>
      <c r="F47" s="16">
        <f t="shared" si="16"/>
        <v>0</v>
      </c>
      <c r="G47" s="16">
        <f t="shared" si="16"/>
        <v>0</v>
      </c>
      <c r="H47" s="16">
        <f t="shared" si="16"/>
        <v>0</v>
      </c>
      <c r="I47" s="28">
        <f t="shared" ca="1" si="16"/>
        <v>0</v>
      </c>
      <c r="J47" s="29">
        <f t="shared" si="16"/>
        <v>2</v>
      </c>
      <c r="K47" s="16">
        <f t="shared" si="16"/>
        <v>0</v>
      </c>
      <c r="L47" s="16">
        <f t="shared" si="16"/>
        <v>0</v>
      </c>
      <c r="M47" s="16">
        <f t="shared" si="16"/>
        <v>0</v>
      </c>
      <c r="N47" s="16">
        <f t="shared" si="16"/>
        <v>0</v>
      </c>
      <c r="O47" s="28">
        <f t="shared" ca="1" si="16"/>
        <v>0</v>
      </c>
      <c r="P47" s="29">
        <f t="shared" si="16"/>
        <v>2</v>
      </c>
      <c r="Q47" s="16">
        <f t="shared" si="16"/>
        <v>0</v>
      </c>
      <c r="R47" s="16">
        <f t="shared" si="16"/>
        <v>0</v>
      </c>
      <c r="S47" s="16">
        <f t="shared" si="16"/>
        <v>0</v>
      </c>
      <c r="T47" s="16">
        <f t="shared" si="16"/>
        <v>0</v>
      </c>
      <c r="U47" s="28">
        <f t="shared" ca="1" si="16"/>
        <v>0</v>
      </c>
      <c r="V47" s="29">
        <f t="shared" si="16"/>
        <v>2</v>
      </c>
      <c r="W47" s="16">
        <f t="shared" si="16"/>
        <v>0</v>
      </c>
      <c r="X47" s="16">
        <f t="shared" si="16"/>
        <v>0</v>
      </c>
      <c r="Y47" s="16">
        <f t="shared" si="16"/>
        <v>0</v>
      </c>
      <c r="Z47" s="16">
        <f t="shared" si="16"/>
        <v>0</v>
      </c>
      <c r="AA47" s="28">
        <f t="shared" ca="1" si="16"/>
        <v>0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</row>
    <row r="48" spans="2:121" x14ac:dyDescent="0.25">
      <c r="B48" s="21" t="s">
        <v>101</v>
      </c>
      <c r="C48" s="21" t="s">
        <v>101</v>
      </c>
      <c r="D48" s="29">
        <f t="shared" ref="D48:AA48" si="17">SUM(D20,D27)</f>
        <v>2</v>
      </c>
      <c r="E48" s="16">
        <f t="shared" si="17"/>
        <v>0</v>
      </c>
      <c r="F48" s="16">
        <f t="shared" si="17"/>
        <v>0</v>
      </c>
      <c r="G48" s="16">
        <f t="shared" si="17"/>
        <v>0</v>
      </c>
      <c r="H48" s="16">
        <f t="shared" si="17"/>
        <v>0</v>
      </c>
      <c r="I48" s="28">
        <f t="shared" ca="1" si="17"/>
        <v>0</v>
      </c>
      <c r="J48" s="29">
        <f t="shared" si="17"/>
        <v>2</v>
      </c>
      <c r="K48" s="16">
        <f t="shared" si="17"/>
        <v>0</v>
      </c>
      <c r="L48" s="16">
        <f t="shared" si="17"/>
        <v>0</v>
      </c>
      <c r="M48" s="16">
        <f t="shared" si="17"/>
        <v>0</v>
      </c>
      <c r="N48" s="16">
        <f t="shared" si="17"/>
        <v>0</v>
      </c>
      <c r="O48" s="28">
        <f t="shared" ca="1" si="17"/>
        <v>0</v>
      </c>
      <c r="P48" s="29">
        <f t="shared" si="17"/>
        <v>2</v>
      </c>
      <c r="Q48" s="16">
        <f t="shared" si="17"/>
        <v>0</v>
      </c>
      <c r="R48" s="16">
        <f t="shared" si="17"/>
        <v>0</v>
      </c>
      <c r="S48" s="16">
        <f t="shared" si="17"/>
        <v>0</v>
      </c>
      <c r="T48" s="16">
        <f t="shared" si="17"/>
        <v>0</v>
      </c>
      <c r="U48" s="28">
        <f t="shared" ca="1" si="17"/>
        <v>0</v>
      </c>
      <c r="V48" s="29">
        <f t="shared" si="17"/>
        <v>2</v>
      </c>
      <c r="W48" s="16">
        <f t="shared" si="17"/>
        <v>0</v>
      </c>
      <c r="X48" s="16">
        <f t="shared" si="17"/>
        <v>0</v>
      </c>
      <c r="Y48" s="16">
        <f t="shared" si="17"/>
        <v>0</v>
      </c>
      <c r="Z48" s="16">
        <f t="shared" si="17"/>
        <v>0</v>
      </c>
      <c r="AA48" s="28">
        <f t="shared" ca="1" si="17"/>
        <v>0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</row>
    <row r="49" spans="2:121" x14ac:dyDescent="0.25">
      <c r="B49" s="21" t="s">
        <v>101</v>
      </c>
      <c r="C49" s="21" t="s">
        <v>101</v>
      </c>
      <c r="D49" s="29">
        <f t="shared" ref="D49:AA49" si="18">SUM(D21,D28)</f>
        <v>2</v>
      </c>
      <c r="E49" s="16">
        <f t="shared" si="18"/>
        <v>0</v>
      </c>
      <c r="F49" s="16">
        <f t="shared" si="18"/>
        <v>0</v>
      </c>
      <c r="G49" s="16">
        <f t="shared" si="18"/>
        <v>0</v>
      </c>
      <c r="H49" s="16">
        <f t="shared" si="18"/>
        <v>0</v>
      </c>
      <c r="I49" s="28">
        <f t="shared" ca="1" si="18"/>
        <v>0</v>
      </c>
      <c r="J49" s="29">
        <f t="shared" si="18"/>
        <v>2</v>
      </c>
      <c r="K49" s="16">
        <f t="shared" si="18"/>
        <v>0</v>
      </c>
      <c r="L49" s="16">
        <f t="shared" si="18"/>
        <v>0</v>
      </c>
      <c r="M49" s="16">
        <f t="shared" si="18"/>
        <v>0</v>
      </c>
      <c r="N49" s="16">
        <f t="shared" si="18"/>
        <v>0</v>
      </c>
      <c r="O49" s="28">
        <f t="shared" ca="1" si="18"/>
        <v>0</v>
      </c>
      <c r="P49" s="29">
        <f t="shared" si="18"/>
        <v>2</v>
      </c>
      <c r="Q49" s="16">
        <f t="shared" si="18"/>
        <v>0</v>
      </c>
      <c r="R49" s="16">
        <f t="shared" si="18"/>
        <v>0</v>
      </c>
      <c r="S49" s="16">
        <f t="shared" si="18"/>
        <v>0</v>
      </c>
      <c r="T49" s="16">
        <f t="shared" si="18"/>
        <v>0</v>
      </c>
      <c r="U49" s="28">
        <f t="shared" ca="1" si="18"/>
        <v>0</v>
      </c>
      <c r="V49" s="29">
        <f t="shared" si="18"/>
        <v>2</v>
      </c>
      <c r="W49" s="16">
        <f t="shared" si="18"/>
        <v>0</v>
      </c>
      <c r="X49" s="16">
        <f t="shared" si="18"/>
        <v>0</v>
      </c>
      <c r="Y49" s="16">
        <f t="shared" si="18"/>
        <v>0</v>
      </c>
      <c r="Z49" s="16">
        <f t="shared" si="18"/>
        <v>0</v>
      </c>
      <c r="AA49" s="28">
        <f t="shared" ca="1" si="18"/>
        <v>0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</row>
    <row r="50" spans="2:121" x14ac:dyDescent="0.25">
      <c r="B50" s="18" t="s">
        <v>101</v>
      </c>
      <c r="C50" s="18" t="s">
        <v>101</v>
      </c>
      <c r="D50" s="39">
        <f t="shared" ref="D50:AA50" si="19">IFERROR(D43/D15,0)</f>
        <v>1</v>
      </c>
      <c r="E50" s="13">
        <f t="shared" si="19"/>
        <v>0</v>
      </c>
      <c r="F50" s="13">
        <f t="shared" si="19"/>
        <v>0</v>
      </c>
      <c r="G50" s="13">
        <f t="shared" si="19"/>
        <v>0</v>
      </c>
      <c r="H50" s="13">
        <f t="shared" si="19"/>
        <v>0</v>
      </c>
      <c r="I50" s="40">
        <f t="shared" ca="1" si="19"/>
        <v>0</v>
      </c>
      <c r="J50" s="39">
        <f t="shared" si="19"/>
        <v>1</v>
      </c>
      <c r="K50" s="13">
        <f t="shared" si="19"/>
        <v>0</v>
      </c>
      <c r="L50" s="13">
        <f t="shared" si="19"/>
        <v>0</v>
      </c>
      <c r="M50" s="13">
        <f t="shared" si="19"/>
        <v>0</v>
      </c>
      <c r="N50" s="13">
        <f t="shared" si="19"/>
        <v>0</v>
      </c>
      <c r="O50" s="40">
        <f t="shared" ca="1" si="19"/>
        <v>0</v>
      </c>
      <c r="P50" s="39">
        <f t="shared" si="19"/>
        <v>1</v>
      </c>
      <c r="Q50" s="13">
        <f t="shared" si="19"/>
        <v>0</v>
      </c>
      <c r="R50" s="13">
        <f t="shared" si="19"/>
        <v>0</v>
      </c>
      <c r="S50" s="13">
        <f t="shared" si="19"/>
        <v>0</v>
      </c>
      <c r="T50" s="13">
        <f t="shared" si="19"/>
        <v>0</v>
      </c>
      <c r="U50" s="40">
        <f t="shared" ca="1" si="19"/>
        <v>0</v>
      </c>
      <c r="V50" s="39">
        <f t="shared" si="19"/>
        <v>1</v>
      </c>
      <c r="W50" s="13">
        <f t="shared" si="19"/>
        <v>0</v>
      </c>
      <c r="X50" s="13">
        <f t="shared" si="19"/>
        <v>0</v>
      </c>
      <c r="Y50" s="13">
        <f t="shared" si="19"/>
        <v>0</v>
      </c>
      <c r="Z50" s="13">
        <f t="shared" si="19"/>
        <v>0</v>
      </c>
      <c r="AA50" s="40">
        <f t="shared" ca="1" si="19"/>
        <v>0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</row>
    <row r="51" spans="2:121" x14ac:dyDescent="0.25">
      <c r="B51" s="21" t="s">
        <v>6</v>
      </c>
      <c r="C51" s="21" t="s">
        <v>101</v>
      </c>
      <c r="D51" s="35">
        <f>1</f>
        <v>1</v>
      </c>
      <c r="E51" s="34"/>
      <c r="F51" s="34"/>
      <c r="G51" s="34"/>
      <c r="H51" s="34"/>
      <c r="I51" s="36">
        <f t="shared" ref="I51:I56" ca="1" si="20">IFERROR(IF(INDIRECT(ADDRESS(ROW(),COLUMN()-7))="SA_0001",INDIRECT(ADDRESS(ROW()-7,COLUMN()))/INDIRECT(ADDRESS(ROW()-35,COLUMN())),SUM(E51:H51)),0)</f>
        <v>0</v>
      </c>
      <c r="J51" s="35">
        <f>1</f>
        <v>1</v>
      </c>
      <c r="K51" s="34"/>
      <c r="L51" s="34"/>
      <c r="M51" s="34"/>
      <c r="N51" s="34"/>
      <c r="O51" s="36">
        <f t="shared" ref="O51:O56" ca="1" si="21">IFERROR(IF(INDIRECT(ADDRESS(ROW(),COLUMN()-13))="SA_0001",INDIRECT(ADDRESS(ROW()-7,COLUMN()))/INDIRECT(ADDRESS(ROW()-35,COLUMN())),SUM(K51:N51)),0)</f>
        <v>0</v>
      </c>
      <c r="P51" s="35">
        <f>1</f>
        <v>1</v>
      </c>
      <c r="Q51" s="34"/>
      <c r="R51" s="34"/>
      <c r="S51" s="34"/>
      <c r="T51" s="34"/>
      <c r="U51" s="36">
        <f t="shared" ref="U51:U56" ca="1" si="22">IFERROR(IF(INDIRECT(ADDRESS(ROW(),COLUMN()-19))="SA_0001",INDIRECT(ADDRESS(ROW()-7,COLUMN()))/INDIRECT(ADDRESS(ROW()-35,COLUMN())),SUM(Q51:T51)),0)</f>
        <v>0</v>
      </c>
      <c r="V51" s="35">
        <f>1</f>
        <v>1</v>
      </c>
      <c r="W51" s="34"/>
      <c r="X51" s="34"/>
      <c r="Y51" s="34"/>
      <c r="Z51" s="34"/>
      <c r="AA51" s="36">
        <f t="shared" ref="AA51:AA56" ca="1" si="23">IFERROR(IF(INDIRECT(ADDRESS(ROW(),COLUMN()-25))="SA_0001",INDIRECT(ADDRESS(ROW()-7,COLUMN()))/INDIRECT(ADDRESS(ROW()-35,COLUMN())),SUM(W51:Z51)),0)</f>
        <v>0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</row>
    <row r="52" spans="2:121" x14ac:dyDescent="0.25">
      <c r="B52" s="21" t="s">
        <v>6</v>
      </c>
      <c r="C52" s="21" t="s">
        <v>101</v>
      </c>
      <c r="D52" s="35">
        <f>1</f>
        <v>1</v>
      </c>
      <c r="E52" s="34"/>
      <c r="F52" s="34"/>
      <c r="G52" s="34"/>
      <c r="H52" s="34"/>
      <c r="I52" s="36">
        <f t="shared" ca="1" si="20"/>
        <v>0</v>
      </c>
      <c r="J52" s="35">
        <f>1</f>
        <v>1</v>
      </c>
      <c r="K52" s="34"/>
      <c r="L52" s="34"/>
      <c r="M52" s="34"/>
      <c r="N52" s="34"/>
      <c r="O52" s="36">
        <f t="shared" ca="1" si="21"/>
        <v>0</v>
      </c>
      <c r="P52" s="35">
        <f>1</f>
        <v>1</v>
      </c>
      <c r="Q52" s="34"/>
      <c r="R52" s="34"/>
      <c r="S52" s="34"/>
      <c r="T52" s="34"/>
      <c r="U52" s="36">
        <f t="shared" ca="1" si="22"/>
        <v>0</v>
      </c>
      <c r="V52" s="35">
        <f>1</f>
        <v>1</v>
      </c>
      <c r="W52" s="34"/>
      <c r="X52" s="34"/>
      <c r="Y52" s="34"/>
      <c r="Z52" s="34"/>
      <c r="AA52" s="36">
        <f t="shared" ca="1" si="23"/>
        <v>0</v>
      </c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</row>
    <row r="53" spans="2:121" x14ac:dyDescent="0.25">
      <c r="B53" s="21" t="s">
        <v>6</v>
      </c>
      <c r="C53" s="21"/>
      <c r="D53" s="35">
        <f>1</f>
        <v>1</v>
      </c>
      <c r="E53" s="34"/>
      <c r="F53" s="34"/>
      <c r="G53" s="34"/>
      <c r="H53" s="34"/>
      <c r="I53" s="36">
        <f t="shared" ca="1" si="20"/>
        <v>0</v>
      </c>
      <c r="J53" s="35">
        <f>1</f>
        <v>1</v>
      </c>
      <c r="K53" s="34"/>
      <c r="L53" s="34"/>
      <c r="M53" s="34"/>
      <c r="N53" s="34"/>
      <c r="O53" s="36">
        <f t="shared" ca="1" si="21"/>
        <v>0</v>
      </c>
      <c r="P53" s="35">
        <f>1</f>
        <v>1</v>
      </c>
      <c r="Q53" s="34"/>
      <c r="R53" s="34"/>
      <c r="S53" s="34"/>
      <c r="T53" s="34"/>
      <c r="U53" s="36">
        <f t="shared" ca="1" si="22"/>
        <v>0</v>
      </c>
      <c r="V53" s="35">
        <f>1</f>
        <v>1</v>
      </c>
      <c r="W53" s="34"/>
      <c r="X53" s="34"/>
      <c r="Y53" s="34"/>
      <c r="Z53" s="34"/>
      <c r="AA53" s="36">
        <f t="shared" ca="1" si="23"/>
        <v>0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</row>
    <row r="54" spans="2:121" x14ac:dyDescent="0.25">
      <c r="B54" s="21" t="s">
        <v>6</v>
      </c>
      <c r="C54" s="21"/>
      <c r="D54" s="35">
        <f>1</f>
        <v>1</v>
      </c>
      <c r="E54" s="34"/>
      <c r="F54" s="34"/>
      <c r="G54" s="34"/>
      <c r="H54" s="34"/>
      <c r="I54" s="36">
        <f t="shared" ca="1" si="20"/>
        <v>0</v>
      </c>
      <c r="J54" s="35">
        <f>1</f>
        <v>1</v>
      </c>
      <c r="K54" s="34"/>
      <c r="L54" s="34"/>
      <c r="M54" s="34"/>
      <c r="N54" s="34"/>
      <c r="O54" s="36">
        <f t="shared" ca="1" si="21"/>
        <v>0</v>
      </c>
      <c r="P54" s="35">
        <f>1</f>
        <v>1</v>
      </c>
      <c r="Q54" s="34"/>
      <c r="R54" s="34"/>
      <c r="S54" s="34"/>
      <c r="T54" s="34"/>
      <c r="U54" s="36">
        <f t="shared" ca="1" si="22"/>
        <v>0</v>
      </c>
      <c r="V54" s="35">
        <f>1</f>
        <v>1</v>
      </c>
      <c r="W54" s="34"/>
      <c r="X54" s="34"/>
      <c r="Y54" s="34"/>
      <c r="Z54" s="34"/>
      <c r="AA54" s="36">
        <f t="shared" ca="1" si="23"/>
        <v>0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</row>
    <row r="55" spans="2:121" x14ac:dyDescent="0.25">
      <c r="B55" s="21" t="s">
        <v>6</v>
      </c>
      <c r="C55" s="21"/>
      <c r="D55" s="35">
        <f>1</f>
        <v>1</v>
      </c>
      <c r="E55" s="34"/>
      <c r="F55" s="34"/>
      <c r="G55" s="34"/>
      <c r="H55" s="34"/>
      <c r="I55" s="36">
        <f t="shared" ca="1" si="20"/>
        <v>0</v>
      </c>
      <c r="J55" s="35">
        <f>1</f>
        <v>1</v>
      </c>
      <c r="K55" s="34"/>
      <c r="L55" s="34"/>
      <c r="M55" s="34"/>
      <c r="N55" s="34"/>
      <c r="O55" s="36">
        <f t="shared" ca="1" si="21"/>
        <v>0</v>
      </c>
      <c r="P55" s="35">
        <f>1</f>
        <v>1</v>
      </c>
      <c r="Q55" s="34"/>
      <c r="R55" s="34"/>
      <c r="S55" s="34"/>
      <c r="T55" s="34"/>
      <c r="U55" s="36">
        <f t="shared" ca="1" si="22"/>
        <v>0</v>
      </c>
      <c r="V55" s="35">
        <f>1</f>
        <v>1</v>
      </c>
      <c r="W55" s="34"/>
      <c r="X55" s="34"/>
      <c r="Y55" s="34"/>
      <c r="Z55" s="34"/>
      <c r="AA55" s="36">
        <f t="shared" ca="1" si="23"/>
        <v>0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</row>
    <row r="56" spans="2:121" x14ac:dyDescent="0.25">
      <c r="B56" s="21" t="s">
        <v>6</v>
      </c>
      <c r="C56" s="21" t="s">
        <v>101</v>
      </c>
      <c r="D56" s="35">
        <f>1</f>
        <v>1</v>
      </c>
      <c r="E56" s="34"/>
      <c r="F56" s="34"/>
      <c r="G56" s="34"/>
      <c r="H56" s="34"/>
      <c r="I56" s="36">
        <f t="shared" ca="1" si="20"/>
        <v>0</v>
      </c>
      <c r="J56" s="35">
        <f>1</f>
        <v>1</v>
      </c>
      <c r="K56" s="34"/>
      <c r="L56" s="34"/>
      <c r="M56" s="34"/>
      <c r="N56" s="34"/>
      <c r="O56" s="36">
        <f t="shared" ca="1" si="21"/>
        <v>0</v>
      </c>
      <c r="P56" s="35">
        <f>1</f>
        <v>1</v>
      </c>
      <c r="Q56" s="34"/>
      <c r="R56" s="34"/>
      <c r="S56" s="34"/>
      <c r="T56" s="34"/>
      <c r="U56" s="36">
        <f t="shared" ca="1" si="22"/>
        <v>0</v>
      </c>
      <c r="V56" s="35">
        <f>1</f>
        <v>1</v>
      </c>
      <c r="W56" s="34"/>
      <c r="X56" s="34"/>
      <c r="Y56" s="34"/>
      <c r="Z56" s="34"/>
      <c r="AA56" s="36">
        <f t="shared" ca="1" si="23"/>
        <v>0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</row>
    <row r="57" spans="2:121" x14ac:dyDescent="0.25">
      <c r="B57" s="20" t="s">
        <v>101</v>
      </c>
      <c r="C57" s="20" t="s">
        <v>101</v>
      </c>
      <c r="D57" s="26">
        <f t="shared" ref="D57:AA57" si="24">IFERROR(D43/D15,0)</f>
        <v>1</v>
      </c>
      <c r="E57" s="27">
        <f t="shared" si="24"/>
        <v>0</v>
      </c>
      <c r="F57" s="27">
        <f t="shared" si="24"/>
        <v>0</v>
      </c>
      <c r="G57" s="27">
        <f t="shared" si="24"/>
        <v>0</v>
      </c>
      <c r="H57" s="27">
        <f t="shared" si="24"/>
        <v>0</v>
      </c>
      <c r="I57" s="23">
        <f t="shared" ca="1" si="24"/>
        <v>0</v>
      </c>
      <c r="J57" s="22">
        <f t="shared" si="24"/>
        <v>1</v>
      </c>
      <c r="K57" s="27">
        <f t="shared" si="24"/>
        <v>0</v>
      </c>
      <c r="L57" s="27">
        <f t="shared" si="24"/>
        <v>0</v>
      </c>
      <c r="M57" s="27">
        <f t="shared" si="24"/>
        <v>0</v>
      </c>
      <c r="N57" s="27">
        <f t="shared" si="24"/>
        <v>0</v>
      </c>
      <c r="O57" s="23">
        <f t="shared" ca="1" si="24"/>
        <v>0</v>
      </c>
      <c r="P57" s="22">
        <f t="shared" si="24"/>
        <v>1</v>
      </c>
      <c r="Q57" s="27">
        <f t="shared" si="24"/>
        <v>0</v>
      </c>
      <c r="R57" s="27">
        <f t="shared" si="24"/>
        <v>0</v>
      </c>
      <c r="S57" s="27">
        <f t="shared" si="24"/>
        <v>0</v>
      </c>
      <c r="T57" s="27">
        <f t="shared" si="24"/>
        <v>0</v>
      </c>
      <c r="U57" s="23">
        <f t="shared" ca="1" si="24"/>
        <v>0</v>
      </c>
      <c r="V57" s="22">
        <f t="shared" si="24"/>
        <v>1</v>
      </c>
      <c r="W57" s="27">
        <f t="shared" si="24"/>
        <v>0</v>
      </c>
      <c r="X57" s="27">
        <f t="shared" si="24"/>
        <v>0</v>
      </c>
      <c r="Y57" s="27">
        <f t="shared" si="24"/>
        <v>0</v>
      </c>
      <c r="Z57" s="27">
        <f t="shared" si="24"/>
        <v>0</v>
      </c>
      <c r="AA57" s="41">
        <f t="shared" ca="1" si="24"/>
        <v>0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</row>
    <row r="58" spans="2:121" outlineLevel="1" x14ac:dyDescent="0.25">
      <c r="B58" s="21" t="s">
        <v>101</v>
      </c>
      <c r="C58" s="21"/>
      <c r="D58" s="31">
        <f t="shared" ref="D58:AA58" si="25">IFERROR(D44/D16,0)</f>
        <v>2</v>
      </c>
      <c r="E58" s="15">
        <f t="shared" si="25"/>
        <v>0</v>
      </c>
      <c r="F58" s="15">
        <f t="shared" si="25"/>
        <v>0</v>
      </c>
      <c r="G58" s="15">
        <f t="shared" si="25"/>
        <v>0</v>
      </c>
      <c r="H58" s="15">
        <f t="shared" si="25"/>
        <v>0</v>
      </c>
      <c r="I58" s="25">
        <f t="shared" ca="1" si="25"/>
        <v>0</v>
      </c>
      <c r="J58" s="31">
        <f t="shared" si="25"/>
        <v>2</v>
      </c>
      <c r="K58" s="15">
        <f t="shared" si="25"/>
        <v>0</v>
      </c>
      <c r="L58" s="15">
        <f t="shared" si="25"/>
        <v>0</v>
      </c>
      <c r="M58" s="15">
        <f t="shared" si="25"/>
        <v>0</v>
      </c>
      <c r="N58" s="15">
        <f t="shared" si="25"/>
        <v>0</v>
      </c>
      <c r="O58" s="25">
        <f t="shared" ca="1" si="25"/>
        <v>0</v>
      </c>
      <c r="P58" s="31">
        <f t="shared" si="25"/>
        <v>2</v>
      </c>
      <c r="Q58" s="15">
        <f t="shared" si="25"/>
        <v>0</v>
      </c>
      <c r="R58" s="15">
        <f t="shared" si="25"/>
        <v>0</v>
      </c>
      <c r="S58" s="15">
        <f t="shared" si="25"/>
        <v>0</v>
      </c>
      <c r="T58" s="15">
        <f t="shared" si="25"/>
        <v>0</v>
      </c>
      <c r="U58" s="25">
        <f t="shared" ca="1" si="25"/>
        <v>0</v>
      </c>
      <c r="V58" s="31">
        <f t="shared" si="25"/>
        <v>2</v>
      </c>
      <c r="W58" s="15">
        <f t="shared" si="25"/>
        <v>0</v>
      </c>
      <c r="X58" s="15">
        <f t="shared" si="25"/>
        <v>0</v>
      </c>
      <c r="Y58" s="15">
        <f t="shared" si="25"/>
        <v>0</v>
      </c>
      <c r="Z58" s="15">
        <f t="shared" si="25"/>
        <v>0</v>
      </c>
      <c r="AA58" s="25">
        <f t="shared" ca="1" si="25"/>
        <v>0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</row>
    <row r="59" spans="2:121" outlineLevel="1" x14ac:dyDescent="0.25">
      <c r="B59" s="21" t="s">
        <v>101</v>
      </c>
      <c r="C59" s="21"/>
      <c r="D59" s="31">
        <f t="shared" ref="D59:AA59" si="26">IFERROR(D45/D17,0)</f>
        <v>2</v>
      </c>
      <c r="E59" s="15">
        <f t="shared" si="26"/>
        <v>0</v>
      </c>
      <c r="F59" s="15">
        <f t="shared" si="26"/>
        <v>0</v>
      </c>
      <c r="G59" s="15">
        <f t="shared" si="26"/>
        <v>0</v>
      </c>
      <c r="H59" s="15">
        <f t="shared" si="26"/>
        <v>0</v>
      </c>
      <c r="I59" s="25">
        <f t="shared" ca="1" si="26"/>
        <v>0</v>
      </c>
      <c r="J59" s="31">
        <f t="shared" si="26"/>
        <v>2</v>
      </c>
      <c r="K59" s="15">
        <f t="shared" si="26"/>
        <v>0</v>
      </c>
      <c r="L59" s="15">
        <f t="shared" si="26"/>
        <v>0</v>
      </c>
      <c r="M59" s="15">
        <f t="shared" si="26"/>
        <v>0</v>
      </c>
      <c r="N59" s="15">
        <f t="shared" si="26"/>
        <v>0</v>
      </c>
      <c r="O59" s="25">
        <f t="shared" ca="1" si="26"/>
        <v>0</v>
      </c>
      <c r="P59" s="31">
        <f t="shared" si="26"/>
        <v>2</v>
      </c>
      <c r="Q59" s="15">
        <f t="shared" si="26"/>
        <v>0</v>
      </c>
      <c r="R59" s="15">
        <f t="shared" si="26"/>
        <v>0</v>
      </c>
      <c r="S59" s="15">
        <f t="shared" si="26"/>
        <v>0</v>
      </c>
      <c r="T59" s="15">
        <f t="shared" si="26"/>
        <v>0</v>
      </c>
      <c r="U59" s="25">
        <f t="shared" ca="1" si="26"/>
        <v>0</v>
      </c>
      <c r="V59" s="31">
        <f t="shared" si="26"/>
        <v>2</v>
      </c>
      <c r="W59" s="15">
        <f t="shared" si="26"/>
        <v>0</v>
      </c>
      <c r="X59" s="15">
        <f t="shared" si="26"/>
        <v>0</v>
      </c>
      <c r="Y59" s="15">
        <f t="shared" si="26"/>
        <v>0</v>
      </c>
      <c r="Z59" s="15">
        <f t="shared" si="26"/>
        <v>0</v>
      </c>
      <c r="AA59" s="25">
        <f t="shared" ca="1" si="26"/>
        <v>0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</row>
    <row r="60" spans="2:121" outlineLevel="1" x14ac:dyDescent="0.25">
      <c r="B60" s="21" t="s">
        <v>101</v>
      </c>
      <c r="C60" s="21"/>
      <c r="D60" s="31">
        <f t="shared" ref="D60:AA60" si="27">IFERROR(D46/D18,0)</f>
        <v>2</v>
      </c>
      <c r="E60" s="15">
        <f t="shared" si="27"/>
        <v>0</v>
      </c>
      <c r="F60" s="15">
        <f t="shared" si="27"/>
        <v>0</v>
      </c>
      <c r="G60" s="15">
        <f t="shared" si="27"/>
        <v>0</v>
      </c>
      <c r="H60" s="15">
        <f t="shared" si="27"/>
        <v>0</v>
      </c>
      <c r="I60" s="25">
        <f t="shared" ca="1" si="27"/>
        <v>0</v>
      </c>
      <c r="J60" s="31">
        <f t="shared" si="27"/>
        <v>2</v>
      </c>
      <c r="K60" s="15">
        <f t="shared" si="27"/>
        <v>0</v>
      </c>
      <c r="L60" s="15">
        <f t="shared" si="27"/>
        <v>0</v>
      </c>
      <c r="M60" s="15">
        <f t="shared" si="27"/>
        <v>0</v>
      </c>
      <c r="N60" s="15">
        <f t="shared" si="27"/>
        <v>0</v>
      </c>
      <c r="O60" s="25">
        <f t="shared" ca="1" si="27"/>
        <v>0</v>
      </c>
      <c r="P60" s="31">
        <f t="shared" si="27"/>
        <v>2</v>
      </c>
      <c r="Q60" s="15">
        <f t="shared" si="27"/>
        <v>0</v>
      </c>
      <c r="R60" s="15">
        <f t="shared" si="27"/>
        <v>0</v>
      </c>
      <c r="S60" s="15">
        <f t="shared" si="27"/>
        <v>0</v>
      </c>
      <c r="T60" s="15">
        <f t="shared" si="27"/>
        <v>0</v>
      </c>
      <c r="U60" s="25">
        <f t="shared" ca="1" si="27"/>
        <v>0</v>
      </c>
      <c r="V60" s="31">
        <f t="shared" si="27"/>
        <v>2</v>
      </c>
      <c r="W60" s="15">
        <f t="shared" si="27"/>
        <v>0</v>
      </c>
      <c r="X60" s="15">
        <f t="shared" si="27"/>
        <v>0</v>
      </c>
      <c r="Y60" s="15">
        <f t="shared" si="27"/>
        <v>0</v>
      </c>
      <c r="Z60" s="15">
        <f t="shared" si="27"/>
        <v>0</v>
      </c>
      <c r="AA60" s="25">
        <f t="shared" ca="1" si="27"/>
        <v>0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</row>
    <row r="61" spans="2:121" outlineLevel="1" x14ac:dyDescent="0.25">
      <c r="B61" s="21" t="s">
        <v>101</v>
      </c>
      <c r="C61" s="21"/>
      <c r="D61" s="31">
        <f t="shared" ref="D61:AA61" si="28">IFERROR(D47/D19,0)</f>
        <v>2</v>
      </c>
      <c r="E61" s="15">
        <f t="shared" si="28"/>
        <v>0</v>
      </c>
      <c r="F61" s="15">
        <f t="shared" si="28"/>
        <v>0</v>
      </c>
      <c r="G61" s="15">
        <f t="shared" si="28"/>
        <v>0</v>
      </c>
      <c r="H61" s="15">
        <f t="shared" si="28"/>
        <v>0</v>
      </c>
      <c r="I61" s="25">
        <f t="shared" ca="1" si="28"/>
        <v>0</v>
      </c>
      <c r="J61" s="31">
        <f t="shared" si="28"/>
        <v>2</v>
      </c>
      <c r="K61" s="15">
        <f t="shared" si="28"/>
        <v>0</v>
      </c>
      <c r="L61" s="15">
        <f t="shared" si="28"/>
        <v>0</v>
      </c>
      <c r="M61" s="15">
        <f t="shared" si="28"/>
        <v>0</v>
      </c>
      <c r="N61" s="15">
        <f t="shared" si="28"/>
        <v>0</v>
      </c>
      <c r="O61" s="25">
        <f t="shared" ca="1" si="28"/>
        <v>0</v>
      </c>
      <c r="P61" s="31">
        <f t="shared" si="28"/>
        <v>2</v>
      </c>
      <c r="Q61" s="15">
        <f t="shared" si="28"/>
        <v>0</v>
      </c>
      <c r="R61" s="15">
        <f t="shared" si="28"/>
        <v>0</v>
      </c>
      <c r="S61" s="15">
        <f t="shared" si="28"/>
        <v>0</v>
      </c>
      <c r="T61" s="15">
        <f t="shared" si="28"/>
        <v>0</v>
      </c>
      <c r="U61" s="25">
        <f t="shared" ca="1" si="28"/>
        <v>0</v>
      </c>
      <c r="V61" s="31">
        <f t="shared" si="28"/>
        <v>2</v>
      </c>
      <c r="W61" s="15">
        <f t="shared" si="28"/>
        <v>0</v>
      </c>
      <c r="X61" s="15">
        <f t="shared" si="28"/>
        <v>0</v>
      </c>
      <c r="Y61" s="15">
        <f t="shared" si="28"/>
        <v>0</v>
      </c>
      <c r="Z61" s="15">
        <f t="shared" si="28"/>
        <v>0</v>
      </c>
      <c r="AA61" s="25">
        <f t="shared" ca="1" si="28"/>
        <v>0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</row>
    <row r="62" spans="2:121" outlineLevel="1" x14ac:dyDescent="0.25">
      <c r="B62" s="21" t="s">
        <v>101</v>
      </c>
      <c r="C62" s="21" t="s">
        <v>101</v>
      </c>
      <c r="D62" s="31">
        <f t="shared" ref="D62:AA62" si="29">IFERROR(D48/D20,0)</f>
        <v>2</v>
      </c>
      <c r="E62" s="15">
        <f t="shared" si="29"/>
        <v>0</v>
      </c>
      <c r="F62" s="15">
        <f t="shared" si="29"/>
        <v>0</v>
      </c>
      <c r="G62" s="15">
        <f t="shared" si="29"/>
        <v>0</v>
      </c>
      <c r="H62" s="15">
        <f t="shared" si="29"/>
        <v>0</v>
      </c>
      <c r="I62" s="25">
        <f t="shared" ca="1" si="29"/>
        <v>0</v>
      </c>
      <c r="J62" s="31">
        <f t="shared" si="29"/>
        <v>2</v>
      </c>
      <c r="K62" s="15">
        <f t="shared" si="29"/>
        <v>0</v>
      </c>
      <c r="L62" s="15">
        <f t="shared" si="29"/>
        <v>0</v>
      </c>
      <c r="M62" s="15">
        <f t="shared" si="29"/>
        <v>0</v>
      </c>
      <c r="N62" s="15">
        <f t="shared" si="29"/>
        <v>0</v>
      </c>
      <c r="O62" s="25">
        <f t="shared" ca="1" si="29"/>
        <v>0</v>
      </c>
      <c r="P62" s="31">
        <f t="shared" si="29"/>
        <v>2</v>
      </c>
      <c r="Q62" s="15">
        <f t="shared" si="29"/>
        <v>0</v>
      </c>
      <c r="R62" s="15">
        <f t="shared" si="29"/>
        <v>0</v>
      </c>
      <c r="S62" s="15">
        <f t="shared" si="29"/>
        <v>0</v>
      </c>
      <c r="T62" s="15">
        <f t="shared" si="29"/>
        <v>0</v>
      </c>
      <c r="U62" s="25">
        <f t="shared" ca="1" si="29"/>
        <v>0</v>
      </c>
      <c r="V62" s="31">
        <f t="shared" si="29"/>
        <v>2</v>
      </c>
      <c r="W62" s="15">
        <f t="shared" si="29"/>
        <v>0</v>
      </c>
      <c r="X62" s="15">
        <f t="shared" si="29"/>
        <v>0</v>
      </c>
      <c r="Y62" s="15">
        <f t="shared" si="29"/>
        <v>0</v>
      </c>
      <c r="Z62" s="15">
        <f t="shared" si="29"/>
        <v>0</v>
      </c>
      <c r="AA62" s="25">
        <f t="shared" ca="1" si="29"/>
        <v>0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</row>
    <row r="63" spans="2:121" outlineLevel="1" x14ac:dyDescent="0.25">
      <c r="B63" s="21" t="s">
        <v>101</v>
      </c>
      <c r="C63" s="21" t="s">
        <v>101</v>
      </c>
      <c r="D63" s="31">
        <f t="shared" ref="D63:AA63" si="30">IFERROR(D49/D21,0)</f>
        <v>2</v>
      </c>
      <c r="E63" s="15">
        <f t="shared" si="30"/>
        <v>0</v>
      </c>
      <c r="F63" s="15">
        <f t="shared" si="30"/>
        <v>0</v>
      </c>
      <c r="G63" s="15">
        <f t="shared" si="30"/>
        <v>0</v>
      </c>
      <c r="H63" s="15">
        <f t="shared" si="30"/>
        <v>0</v>
      </c>
      <c r="I63" s="25">
        <f t="shared" ca="1" si="30"/>
        <v>0</v>
      </c>
      <c r="J63" s="31">
        <f t="shared" si="30"/>
        <v>2</v>
      </c>
      <c r="K63" s="15">
        <f t="shared" si="30"/>
        <v>0</v>
      </c>
      <c r="L63" s="15">
        <f t="shared" si="30"/>
        <v>0</v>
      </c>
      <c r="M63" s="15">
        <f t="shared" si="30"/>
        <v>0</v>
      </c>
      <c r="N63" s="15">
        <f t="shared" si="30"/>
        <v>0</v>
      </c>
      <c r="O63" s="25">
        <f t="shared" ca="1" si="30"/>
        <v>0</v>
      </c>
      <c r="P63" s="31">
        <f t="shared" si="30"/>
        <v>2</v>
      </c>
      <c r="Q63" s="15">
        <f t="shared" si="30"/>
        <v>0</v>
      </c>
      <c r="R63" s="15">
        <f t="shared" si="30"/>
        <v>0</v>
      </c>
      <c r="S63" s="15">
        <f t="shared" si="30"/>
        <v>0</v>
      </c>
      <c r="T63" s="15">
        <f t="shared" si="30"/>
        <v>0</v>
      </c>
      <c r="U63" s="25">
        <f t="shared" ca="1" si="30"/>
        <v>0</v>
      </c>
      <c r="V63" s="31">
        <f t="shared" si="30"/>
        <v>2</v>
      </c>
      <c r="W63" s="15">
        <f t="shared" si="30"/>
        <v>0</v>
      </c>
      <c r="X63" s="15">
        <f t="shared" si="30"/>
        <v>0</v>
      </c>
      <c r="Y63" s="15">
        <f t="shared" si="30"/>
        <v>0</v>
      </c>
      <c r="Z63" s="15">
        <f t="shared" si="30"/>
        <v>0</v>
      </c>
      <c r="AA63" s="25">
        <f t="shared" ca="1" si="30"/>
        <v>0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</row>
    <row r="64" spans="2:121" x14ac:dyDescent="0.25">
      <c r="B64" s="37" t="s">
        <v>7</v>
      </c>
      <c r="C64" s="37"/>
      <c r="D64" s="29">
        <f>1</f>
        <v>1</v>
      </c>
      <c r="E64" s="16"/>
      <c r="F64" s="16"/>
      <c r="G64" s="16"/>
      <c r="H64" s="16"/>
      <c r="I64" s="28">
        <f ca="1">IFERROR(IF(INDIRECT(ADDRESS(ROW(),COLUMN()-7))="SA_0001",INDIRECT(ADDRESS(ROW()-7,COLUMN()))/INDIRECT(ADDRESS(ROW()-35,COLUMN())),SUM(E64:H64)),0)</f>
        <v>0</v>
      </c>
      <c r="J64" s="29">
        <f>1</f>
        <v>1</v>
      </c>
      <c r="K64" s="16"/>
      <c r="L64" s="16"/>
      <c r="M64" s="16"/>
      <c r="N64" s="16"/>
      <c r="O64" s="28">
        <f ca="1">IFERROR(IF(INDIRECT(ADDRESS(ROW(),COLUMN()-13))="SA_0001",INDIRECT(ADDRESS(ROW()-7,COLUMN()))/INDIRECT(ADDRESS(ROW()-35,COLUMN())),SUM(K64:N64)),0)</f>
        <v>0</v>
      </c>
      <c r="P64" s="29">
        <f>1</f>
        <v>1</v>
      </c>
      <c r="Q64" s="16"/>
      <c r="R64" s="16"/>
      <c r="S64" s="16"/>
      <c r="T64" s="16"/>
      <c r="U64" s="28">
        <f ca="1">IFERROR(IF(INDIRECT(ADDRESS(ROW(),COLUMN()-19))="SA_0001",INDIRECT(ADDRESS(ROW()-7,COLUMN()))/INDIRECT(ADDRESS(ROW()-35,COLUMN())),SUM(Q64:T64)),0)</f>
        <v>0</v>
      </c>
      <c r="V64" s="29">
        <f>1</f>
        <v>1</v>
      </c>
      <c r="W64" s="16"/>
      <c r="X64" s="16"/>
      <c r="Y64" s="16"/>
      <c r="Z64" s="16"/>
      <c r="AA64" s="28">
        <f ca="1">IFERROR(IF(INDIRECT(ADDRESS(ROW(),COLUMN()-25))="SA_0001",INDIRECT(ADDRESS(ROW()-7,COLUMN()))/INDIRECT(ADDRESS(ROW()-35,COLUMN())),SUM(W64:Z64)),0)</f>
        <v>0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</row>
    <row r="65" spans="2:121" x14ac:dyDescent="0.25">
      <c r="B65" s="18" t="s">
        <v>101</v>
      </c>
      <c r="C65" s="18"/>
      <c r="D65" s="32">
        <f t="shared" ref="D65:AA65" si="31">SUM(D43,D64)</f>
        <v>2</v>
      </c>
      <c r="E65" s="17">
        <f t="shared" si="31"/>
        <v>0</v>
      </c>
      <c r="F65" s="17">
        <f t="shared" si="31"/>
        <v>0</v>
      </c>
      <c r="G65" s="17">
        <f t="shared" si="31"/>
        <v>0</v>
      </c>
      <c r="H65" s="17">
        <f t="shared" si="31"/>
        <v>0</v>
      </c>
      <c r="I65" s="33">
        <f t="shared" ca="1" si="31"/>
        <v>0</v>
      </c>
      <c r="J65" s="32">
        <f t="shared" si="31"/>
        <v>2</v>
      </c>
      <c r="K65" s="17">
        <f t="shared" si="31"/>
        <v>0</v>
      </c>
      <c r="L65" s="17">
        <f t="shared" si="31"/>
        <v>0</v>
      </c>
      <c r="M65" s="17">
        <f t="shared" si="31"/>
        <v>0</v>
      </c>
      <c r="N65" s="17">
        <f t="shared" si="31"/>
        <v>0</v>
      </c>
      <c r="O65" s="33">
        <f t="shared" ca="1" si="31"/>
        <v>0</v>
      </c>
      <c r="P65" s="32">
        <f t="shared" si="31"/>
        <v>2</v>
      </c>
      <c r="Q65" s="17">
        <f t="shared" si="31"/>
        <v>0</v>
      </c>
      <c r="R65" s="17">
        <f t="shared" si="31"/>
        <v>0</v>
      </c>
      <c r="S65" s="17">
        <f t="shared" si="31"/>
        <v>0</v>
      </c>
      <c r="T65" s="17">
        <f t="shared" si="31"/>
        <v>0</v>
      </c>
      <c r="U65" s="33">
        <f t="shared" ca="1" si="31"/>
        <v>0</v>
      </c>
      <c r="V65" s="32">
        <f t="shared" si="31"/>
        <v>2</v>
      </c>
      <c r="W65" s="17">
        <f t="shared" si="31"/>
        <v>0</v>
      </c>
      <c r="X65" s="17">
        <f t="shared" si="31"/>
        <v>0</v>
      </c>
      <c r="Y65" s="17">
        <f t="shared" si="31"/>
        <v>0</v>
      </c>
      <c r="Z65" s="17">
        <f t="shared" si="31"/>
        <v>0</v>
      </c>
      <c r="AA65" s="33">
        <f t="shared" ca="1" si="31"/>
        <v>0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</row>
    <row r="66" spans="2:121" x14ac:dyDescent="0.25">
      <c r="B66" s="38" t="s">
        <v>101</v>
      </c>
      <c r="C66" s="38"/>
      <c r="D66" s="39">
        <f t="shared" ref="D66:AA66" si="32">IFERROR(D65/D15,0)</f>
        <v>2</v>
      </c>
      <c r="E66" s="13">
        <f t="shared" si="32"/>
        <v>0</v>
      </c>
      <c r="F66" s="13">
        <f t="shared" si="32"/>
        <v>0</v>
      </c>
      <c r="G66" s="13">
        <f t="shared" si="32"/>
        <v>0</v>
      </c>
      <c r="H66" s="13">
        <f t="shared" si="32"/>
        <v>0</v>
      </c>
      <c r="I66" s="40">
        <f t="shared" ca="1" si="32"/>
        <v>0</v>
      </c>
      <c r="J66" s="39">
        <f t="shared" si="32"/>
        <v>2</v>
      </c>
      <c r="K66" s="13">
        <f t="shared" si="32"/>
        <v>0</v>
      </c>
      <c r="L66" s="13">
        <f t="shared" si="32"/>
        <v>0</v>
      </c>
      <c r="M66" s="13">
        <f t="shared" si="32"/>
        <v>0</v>
      </c>
      <c r="N66" s="13">
        <f t="shared" si="32"/>
        <v>0</v>
      </c>
      <c r="O66" s="40">
        <f t="shared" ca="1" si="32"/>
        <v>0</v>
      </c>
      <c r="P66" s="39">
        <f t="shared" si="32"/>
        <v>2</v>
      </c>
      <c r="Q66" s="13">
        <f t="shared" si="32"/>
        <v>0</v>
      </c>
      <c r="R66" s="13">
        <f t="shared" si="32"/>
        <v>0</v>
      </c>
      <c r="S66" s="13">
        <f t="shared" si="32"/>
        <v>0</v>
      </c>
      <c r="T66" s="13">
        <f t="shared" si="32"/>
        <v>0</v>
      </c>
      <c r="U66" s="40">
        <f t="shared" ca="1" si="32"/>
        <v>0</v>
      </c>
      <c r="V66" s="39">
        <f t="shared" si="32"/>
        <v>2</v>
      </c>
      <c r="W66" s="13">
        <f t="shared" si="32"/>
        <v>0</v>
      </c>
      <c r="X66" s="13">
        <f t="shared" si="32"/>
        <v>0</v>
      </c>
      <c r="Y66" s="13">
        <f t="shared" si="32"/>
        <v>0</v>
      </c>
      <c r="Z66" s="13">
        <f t="shared" si="32"/>
        <v>0</v>
      </c>
      <c r="AA66" s="40">
        <f t="shared" ca="1" si="32"/>
        <v>0</v>
      </c>
      <c r="AB66" s="4"/>
      <c r="AC66" s="4"/>
      <c r="AD66" s="4"/>
      <c r="AE66" s="4"/>
      <c r="AF66" s="4"/>
      <c r="AG66" s="4"/>
      <c r="AH66" s="4"/>
      <c r="AI66" s="4"/>
      <c r="AJ66" s="4"/>
    </row>
    <row r="67" spans="2:121" x14ac:dyDescent="0.25">
      <c r="B67" s="5"/>
      <c r="C67" s="5"/>
      <c r="D67" s="5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</row>
    <row r="68" spans="2:121" x14ac:dyDescent="0.25">
      <c r="B68" s="5"/>
      <c r="C68" s="5"/>
      <c r="D68" s="5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</row>
    <row r="69" spans="2:121" x14ac:dyDescent="0.25">
      <c r="B69" s="5"/>
      <c r="C69" s="5"/>
      <c r="D69" s="5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</row>
    <row r="70" spans="2:121" x14ac:dyDescent="0.25">
      <c r="B70" s="5"/>
      <c r="C70" s="5"/>
      <c r="D70" s="5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</sheetData>
  <mergeCells count="4">
    <mergeCell ref="E4:O4"/>
    <mergeCell ref="E6:O6"/>
    <mergeCell ref="E8:O8"/>
    <mergeCell ref="C2:U2"/>
  </mergeCells>
  <conditionalFormatting sqref="D10:D27">
    <cfRule type="expression" dxfId="20" priority="29">
      <formula>D10&lt;&gt;""</formula>
    </cfRule>
  </conditionalFormatting>
  <conditionalFormatting sqref="D31:D55">
    <cfRule type="expression" dxfId="19" priority="28">
      <formula>D31&lt;&gt;""</formula>
    </cfRule>
  </conditionalFormatting>
  <conditionalFormatting sqref="J10:J27">
    <cfRule type="expression" dxfId="18" priority="26">
      <formula>J10&lt;&gt;""</formula>
    </cfRule>
  </conditionalFormatting>
  <conditionalFormatting sqref="J59:J66">
    <cfRule type="expression" dxfId="17" priority="24">
      <formula>J59&lt;&gt;""</formula>
    </cfRule>
  </conditionalFormatting>
  <conditionalFormatting sqref="P10:P27">
    <cfRule type="expression" dxfId="16" priority="23">
      <formula>P10&lt;&gt;""</formula>
    </cfRule>
  </conditionalFormatting>
  <conditionalFormatting sqref="P31:P55">
    <cfRule type="expression" dxfId="15" priority="22">
      <formula>P31&lt;&gt;""</formula>
    </cfRule>
  </conditionalFormatting>
  <conditionalFormatting sqref="P59:P66">
    <cfRule type="expression" dxfId="14" priority="21">
      <formula>P59&lt;&gt;""</formula>
    </cfRule>
  </conditionalFormatting>
  <conditionalFormatting sqref="V10:V27">
    <cfRule type="expression" dxfId="13" priority="20">
      <formula>V10&lt;&gt;""</formula>
    </cfRule>
  </conditionalFormatting>
  <conditionalFormatting sqref="V31:V55">
    <cfRule type="expression" dxfId="12" priority="19">
      <formula>V31&lt;&gt;""</formula>
    </cfRule>
  </conditionalFormatting>
  <conditionalFormatting sqref="V59:V66">
    <cfRule type="expression" dxfId="11" priority="18">
      <formula>V59&lt;&gt;""</formula>
    </cfRule>
  </conditionalFormatting>
  <conditionalFormatting sqref="D26">
    <cfRule type="expression" dxfId="10" priority="17">
      <formula>D26=6</formula>
    </cfRule>
  </conditionalFormatting>
  <conditionalFormatting sqref="J31:J55">
    <cfRule type="expression" dxfId="9" priority="14">
      <formula>J31&lt;&gt;""</formula>
    </cfRule>
  </conditionalFormatting>
  <conditionalFormatting sqref="D59:D66">
    <cfRule type="expression" dxfId="8" priority="9">
      <formula>D59&lt;&gt;""</formula>
    </cfRule>
  </conditionalFormatting>
  <conditionalFormatting sqref="D57">
    <cfRule type="expression" dxfId="7" priority="8">
      <formula>D57&lt;&gt;""</formula>
    </cfRule>
  </conditionalFormatting>
  <conditionalFormatting sqref="J29">
    <cfRule type="expression" dxfId="6" priority="7">
      <formula>J29&lt;&gt;""</formula>
    </cfRule>
  </conditionalFormatting>
  <conditionalFormatting sqref="P29">
    <cfRule type="expression" dxfId="5" priority="6">
      <formula>P29&lt;&gt;""</formula>
    </cfRule>
  </conditionalFormatting>
  <conditionalFormatting sqref="P57">
    <cfRule type="expression" dxfId="4" priority="5">
      <formula>P57&lt;&gt;""</formula>
    </cfRule>
  </conditionalFormatting>
  <conditionalFormatting sqref="J57">
    <cfRule type="expression" dxfId="3" priority="4">
      <formula>J57&lt;&gt;""</formula>
    </cfRule>
  </conditionalFormatting>
  <conditionalFormatting sqref="V57">
    <cfRule type="expression" dxfId="2" priority="3">
      <formula>V57&lt;&gt;""</formula>
    </cfRule>
  </conditionalFormatting>
  <conditionalFormatting sqref="V29">
    <cfRule type="expression" dxfId="1" priority="2">
      <formula>V29&lt;&gt;""</formula>
    </cfRule>
  </conditionalFormatting>
  <conditionalFormatting sqref="D29">
    <cfRule type="expression" dxfId="0" priority="1">
      <formula>D29&lt;&gt;""</formula>
    </cfRule>
  </conditionalFormatting>
  <pageMargins left="0.7" right="0.7" top="0.75" bottom="0.75" header="0.3" footer="0.3"/>
  <pageSetup paperSize="9" orientation="portrait" r:id="rId1"/>
  <customProperties>
    <customPr name="TGK_SHEET_ID" r:id="rId2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5.2.4.19.tgk.20170919103452"/>
  <data>
    <be refId="0" clsId="MultiTemplateReportVO">
      <s key="code">SA_DE_01_N</s>
      <a key="desc" refId="1" ln="4" eid="SYS_STR">
        <s>Sales and GP Planning (Net Sales and GP in%)</s>
        <nl/>
        <nl/>
        <nl/>
      </a>
      <d key="dateStyleApplied">1507713592395</d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16777215</i>
        <i key="colorIRGB">13434879</i>
        <i key="colorEditTransactionCurencyRGB">13434879</i>
        <e key="parallelDegree" refId="3" id="ParallelDegreeEnum">D</e>
        <e key="parallelizeWhat" refId="4" id="ParallWhatEnum">C</e>
        <s key="styleSheetCode">TGK_02</s>
        <b key="sheetNamesWithCode">N</b>
        <b key="eventsWithUnlockedSheets">N</b>
        <e key="includeTemplateInSheetName" refId="5" id="IncludeTemplateInSheetNameEnum">0</e>
        <b key="enableDrillDown">S</b>
        <u key="expControlloThreshold">1E-09</u>
        <b key="disableTGKFunctions">N</b>
        <e key="validateTransactional" refId="6" id="ValidateTransactionalEnum">C</e>
        <e key="disableLock" refId="7" id="DisableLockEnum">C</e>
        <e key="headManipPosition" refId="8" id="HeaderManipulatorPositionEnum">A</e>
        <e key="repEngine" refId="9" id="RepEngineEnum">CFG</e>
        <i key="grainSize">1000</i>
        <i key="dataLoadPSize">4</i>
        <i key="dataProcPSize">6</i>
      </be>
      <m key="templates" refId="10" keid="SYS_STR" veid="Reporting.com.tagetik.report.IReportTemplateVO,Reporting">
        <key>
          <s>Template00</s>
        </key>
        <val>
          <be refId="11" clsId="ReportTemplateVO">
            <s key="code">Template00</s>
            <s key="desc">1</s>
            <m key="matrices" refId="12" keid="SYS_STR" veid="Reporting.com.tagetik.tables.IMatrixPositionBlockVO,Reporting">
              <key>
                <s>Matrix00</s>
              </key>
              <val>
                <be refId="13" clsId="MatrixPositionBlockVO">
                  <s key="positionID">Matrix00</s>
                  <be key="rows" refId="14" clsId="FilterNode">
                    <l key="dimensionOids" refId="15" ln="0" eid="DimensionOid"/>
                    <l key="AdHocParamDimensionOids" refId="16" ln="0" eid="DimensionOid"/>
                    <be key="data" refId="17" clsId="FilterNodeData">
                      <ref key="filterNode" refId="14"/>
                      <i key="segmentLevel">0</i>
                      <e key="segment" refId="18" id="SegmentEnum">CF</e>
                      <b key="placeHolder">N</b>
                      <e key="weight" refId="19" id="WeightEnum">S</e>
                      <be key="textMatchingCondition" refId="20" clsId="TextMatchingCondition">
                        <e key="op" refId="21" id="ComparisonOperatorEnum">=</e>
                        <s key="val"/>
                      </be>
                      <e key="change" refId="22" id="ChangeEnum">CHG_CF</e>
                      <e key="dataType" refId="23" id="DataType">TYPE_U</e>
                      <b key="prevailingDataType">N</b>
                      <e key="editability" refId="24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Rows</s>
                    <i key="index">0</i>
                    <l key="children" refId="25" ln="17" eid="Framework.com.tagetik.trees.INode,framework">
                      <be refId="26" clsId="FilterNode">
                        <l key="dimensionOids" refId="27" ln="0" eid="DimensionOid"/>
                        <l key="AdHocParamDimensionOids" refId="28" ln="0" eid="DimensionOid"/>
                        <be key="data" refId="29" clsId="FilterNodeData">
                          <ref key="filterNode" refId="26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30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31" keid="SYS_STR" veid="EFReportingNodeType">
                            <key>
                              <s>2</s>
                            </key>
                            <val>
                              <e refId="32" id="EFReportingNodeType">N</e>
                            </val>
                          </m>
                        </be>
                        <cust key="id" clsId="FilterOid">142</cust>
                        <s key="cod">PH</s>
                        <s key="desc"/>
                        <i key="index">0</i>
                        <l key="children" refId="33" ln="2" eid="Framework.com.tagetik.trees.INode,framework">
                          <be refId="34" clsId="FilterNode">
                            <l key="dimensionOids" refId="35" ln="0" eid="DimensionOid"/>
                            <l key="AdHocParamDimensionOids" refId="36" ln="0" eid="DimensionOid"/>
                            <be key="data" refId="37" clsId="FilterNodeData">
                              <ref key="filterNode" refId="34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38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39" keid="SYS_STR" veid="EFReportingNodeType">
                                <key>
                                  <s>142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280</cust>
                            <s key="cod">PH</s>
                            <s key="desc"/>
                            <i key="index">0</i>
                            <l key="children" refId="40" ln="3" eid="Framework.com.tagetik.trees.INode,framework">
                              <be refId="41" clsId="FilterNode">
                                <l key="dimensionOids" refId="42" ln="0" eid="DimensionOid"/>
                                <l key="AdHocParamDimensionOids" refId="43" ln="0" eid="DimensionOid"/>
                                <be key="data" refId="44" clsId="FilterNodeData">
                                  <ref key="filterNode" refId="41"/>
                                  <s key="dim">DEST1_LC_01</s>
                                  <i key="segmentLevel">0</i>
                                  <ref key="segment" refId="18"/>
                                  <be key="reportingFormula" refId="45" clsId="ReportingFormula">
                                    <b key="serverFormula">N</b>
                                    <b key="formulaRule">N</b>
                                    <s key="formula">if(FCorACT="Forecast", if(mid(SCECODE,7,1)="1", if(left(SCECODE,4)=right(Quartale,4),1, if(or(left(Quartale,2)="Q1",left(Quartale,2)="Q2"),1,0)), if(mid(SCECODE,7,1)="2", if(left(SCECODE,4)=right(Quartale,4),1, if(or(left(Quartale,2)="Q1",left(Quartale,2)="Q2",left(Quartale,2)="Q3"),1,0)), if(mid(SCECODE,7,1)="3", if(left(SCECODE,4)=right(Quartale,4),1, if(or(left(Quartale,2)="Q1",left(Quartale,2)="Q2",left(Quartale,2)="Q3",left(Quartale,2)="Q4"),1,0)), if(mid(SCECODE,7,1)="4", if(left(SCECODE,4)=right(Quartale,4),1, if(right(Quartale,4)="2018",1, if(and(right(Quartale,4)="2019",left(Quartale,2)="Q1"),1,0))))))),0)</s>
                                  </be>
                                  <be key="HideRC" refId="46" clsId="HideRCBean">
                                    <e key="HideMode" refId="47" id="HideRCSEnum">HA</e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48" clsId="MultiDesc">
                                    <a key="desc" refId="49" ln="4" eid="SYS_STR">
                                      <s>Editability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5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1" keid="SYS_STR" veid="EFReportingNodeType">
                                    <key>
                                      <s>280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281</cust>
                                <s key="cod">PH</s>
                                <s key="desc"/>
                                <i key="index">0</i>
                                <ref key="parent" refId="34"/>
                              </be>
                              <be refId="52" clsId="FilterNode">
                                <l key="dimensionOids" refId="53" ln="0" eid="DimensionOid"/>
                                <l key="AdHocParamDimensionOids" refId="54" ln="0" eid="DimensionOid"/>
                                <be key="data" refId="55" clsId="FilterNodeData">
                                  <ref key="filterNode" refId="52"/>
                                  <s key="dim">DEST1_LC_01</s>
                                  <i key="segmentLevel">0</i>
                                  <ref key="segment" refId="18"/>
                                  <be key="reportingFormula" refId="56" clsId="ReportingFormula">
                                    <b key="serverFormula">N</b>
                                    <b key="formulaRule">N</b>
                                    <s key="formula">
                                      if({281}=1, if(countifs({285}:{290},"&lt;0")=1,1,if(countifs({285}:{290},"&lt;0")=2,1,if(countifs({285}:{290},"&lt;0")=3,1,if(countifs({285}:{290},"&lt;0")=4,1,if(countifs({285}:{290},"&lt;0")=5,1,if(countifs({285}:{290},"&lt;0")=6,1,0)))))),0)
                                      <ch cod="0a"/>
                                    </s>
                                  </be>
                                  <be key="HideRC" refId="57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58" clsId="MultiDesc">
                                    <a key="desc" refId="59" ln="4" eid="SYS_STR">
                                      <s>Net Sales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e key="expControlloProspetto" refId="61" clsId="ExpControlloProspetto">
                                    <be key="multiDesc" refId="62" clsId="MultiDesc">
                                      <a key="desc" refId="63" ln="4" eid="SYS_STR">
                                        <s>Please insert only positive values in row 16 to 21!!</s>
                                        <nl/>
                                        <nl/>
                                        <nl/>
                                      </a>
                                    </be>
                                    <be key="expression" refId="64" clsId="SimpleControlExpression">
                                      <s key="operator">=</s>
                                      <u key="valueFrom">0</u>
                                      <e key="dataType" refId="65" id="DataType">TYPE_N</e>
                                    </be>
                                    <b key="save">S</b>
                                    <b key="exit">N</b>
                                    <b key="blocker">N</b>
                                    <e key="type" refId="66" id="RowColumnControlExpType">A</e>
                                  </be>
                                  <b key="breakLevelSubtotal">N</b>
                                  <b key="alreadyDrilled">N</b>
                                  <m key="nodeTypes" refId="67" keid="SYS_STR" veid="EFReportingNodeType">
                                    <key>
                                      <s>280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282</cust>
                                <s key="cod">PH</s>
                                <s key="desc"/>
                                <i key="index">0</i>
                                <ref key="parent" refId="34"/>
                              </be>
                              <be refId="68" clsId="FilterNode">
                                <l key="dimensionOids" refId="69" ln="0" eid="DimensionOid"/>
                                <l key="AdHocParamDimensionOids" refId="70" ln="0" eid="DimensionOid"/>
                                <be key="data" refId="71" clsId="FilterNodeData">
                                  <ref key="filterNode" refId="68"/>
                                  <s key="dim">DEST1_LC_01</s>
                                  <i key="segmentLevel">0</i>
                                  <ref key="segment" refId="18"/>
                                  <be key="reportingFormula" refId="72" clsId="ReportingFormula">
                                    <b key="serverFormula">N</b>
                                    <b key="formulaRule">N</b>
                                    <s key="formula">if({281}=1, if(countifs({156}:{161},"=0")=1,1,if(countifs({156}:{161},"=0")=2,1,if(countifs({156}:{161},"=0")=3,1,if(countifs({156}:{161},"=0")=4,1,if(countifs({156}:{161},"&gt;0")=5,1,if(countifs({156}:{161},"=0")=6,1,0)))))),0)</s>
                                  </be>
                                  <be key="HideRC" refId="73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74" clsId="MultiDesc">
                                    <a key="desc" refId="75" ln="4" eid="SYS_STR">
                                      <s>Cost Overruling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7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e key="expControlloProspetto" refId="77" clsId="ExpControlloProspetto">
                                    <be key="multiDesc" refId="78" clsId="MultiDesc">
                                      <a key="desc" refId="79" ln="4" eid="SYS_STR">
                                        <s>Please insert only negative values in row 30 to35!! If costs should be zero please insert into " GP excl. OOI in %" the value 100%!!</s>
                                        <nl/>
                                        <nl/>
                                        <nl/>
                                      </a>
                                    </be>
                                    <be key="expression" refId="80" clsId="SimpleControlExpression">
                                      <s key="operator">=</s>
                                      <u key="valueFrom">0</u>
                                      <ref key="dataType" refId="65"/>
                                    </be>
                                    <b key="save">S</b>
                                    <b key="exit">N</b>
                                    <b key="blocker">N</b>
                                    <ref key="type" refId="66"/>
                                  </be>
                                  <b key="breakLevelSubtotal">N</b>
                                  <b key="alreadyDrilled">N</b>
                                  <m key="nodeTypes" refId="81" keid="SYS_STR" veid="EFReportingNodeType">
                                    <key>
                                      <s>282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283</cust>
                                <s key="cod">PH</s>
                                <s key="desc"/>
                                <i key="index">0</i>
                                <ref key="parent" refId="34"/>
                              </be>
                            </l>
                            <ref key="parent" refId="26"/>
                          </be>
                          <be refId="82" clsId="FilterNode">
                            <l key="dimensionOids" refId="83" ln="0" eid="DimensionOid"/>
                            <l key="AdHocParamDimensionOids" refId="84" ln="0" eid="DimensionOid"/>
                            <be key="data" refId="85" clsId="FilterNodeData">
                              <ref key="filterNode" refId="82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86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87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262</cust>
                            <s key="cod">PH</s>
                            <s key="desc"/>
                            <i key="index">0</i>
                            <l key="children" refId="88" ln="1" eid="Framework.com.tagetik.trees.INode,framework">
                              <be refId="89" clsId="FilterNode">
                                <l key="dimensionOids" refId="90" ln="0" eid="DimensionOid"/>
                                <l key="AdHocParamDimensionOids" refId="91" ln="0" eid="DimensionOid"/>
                                <be key="data" refId="92" clsId="FilterNodeData">
                                  <ref key="filterNode" refId="89"/>
                                  <s key="dim">DEST1_LC_01</s>
                                  <i key="segmentLevel">0</i>
                                  <ref key="segment" refId="18"/>
                                  <be key="reportingFormula" refId="93" clsId="ReportingFormula">
                                    <b key="serverFormula">N</b>
                                    <b key="formulaRule">N</b>
                                    <s key="formula">sum({285}:{289})</s>
                                  </be>
                                  <be key="dictionaryHeader" refId="94" clsId="MultiDesc">
                                    <a key="desc" refId="95" ln="4" eid="SYS_STR">
                                      <s>Net Sales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9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173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7" keid="SYS_STR" veid="EFReportingNodeType">
                                    <key>
                                      <s>142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143</cust>
                                <s key="cod">PH</s>
                                <s key="desc"/>
                                <i key="index">0</i>
                                <ref key="parent" refId="82"/>
                              </be>
                            </l>
                            <ref key="parent" refId="26"/>
                          </be>
                        </l>
                        <ref key="parent" refId="14"/>
                      </be>
                      <be refId="98" clsId="FilterNode">
                        <l key="dimensionOids" refId="99" ln="1" eid="DimensionOid">
                          <cust clsId="DimensionOid">564F435F50414C-45-33303030---</cust>
                        </l>
                        <l key="AdHocParamDimensionOids" refId="100" ln="0" eid="DimensionOid"/>
                        <be key="data" refId="101" clsId="FilterNodeData">
                          <ref key="filterNode" refId="98"/>
                          <s key="dim">VOC_PAL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102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03" keid="SYS_STR" veid="EFReportingNodeType">
                            <key>
                              <s>564F435F50414C-45-33303030---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141</cust>
                        <i key="index">0</i>
                        <l key="children" refId="104" ln="1" eid="Framework.com.tagetik.trees.INode,framework">
                          <be refId="105" clsId="FilterNode">
                            <l key="dimensionOids" refId="106" ln="1" eid="DimensionOid">
                              <cust clsId="DimensionOid">4341545F24-4E-534132---</cust>
                            </l>
                            <l key="AdHocParamDimensionOids" refId="107" ln="0" eid="DimensionOid"/>
                            <be key="data" refId="108" clsId="FilterNodeData">
                              <ref key="filterNode" refId="105"/>
                              <s key="dim">CAT_$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109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10" keid="SYS_STR" veid="EFReportingNodeType">
                                <key>
                                  <s>4341545F24-4E-534132---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284</cust>
                            <i key="index">0</i>
                            <l key="children" refId="111" ln="6" eid="Framework.com.tagetik.trees.INode,framework">
                              <be refId="112" clsId="FilterNode">
                                <l key="dimensionOids" refId="113" ln="1" eid="DimensionOid">
                                  <cust clsId="DimensionOid">44455354315F4C435F3031-45-4E46---</cust>
                                </l>
                                <l key="AdHocParamDimensionOids" refId="114" ln="0" eid="DimensionOid"/>
                                <be key="data" refId="115" clsId="FilterNodeData">
                                  <ref key="filterNode" refId="112"/>
                                  <s key="dim">DEST1_LC_01</s>
                                  <i key="segmentLevel">0</i>
                                  <ref key="segment" refId="18"/>
                                  <be key="dictionaryHeader" refId="116" clsId="MultiDesc">
                                    <a key="desc" refId="117" ln="4" eid="SYS_STR">
                                      <s>NF - New Facility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11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19" keid="SYS_STR" veid="EFReportingNodeType">
                                    <key>
                                      <s>44455354315F4C435F3031-45-4E46---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285</cust>
                                <i key="index">0</i>
                                <ref key="parent" refId="105"/>
                              </be>
                              <be refId="120" clsId="FilterNode">
                                <l key="dimensionOids" refId="121" ln="1" eid="DimensionOid">
                                  <cust clsId="DimensionOid">44455354315F4C435F3031-45-4D45---</cust>
                                </l>
                                <l key="AdHocParamDimensionOids" refId="122" ln="0" eid="DimensionOid"/>
                                <be key="data" refId="123" clsId="FilterNodeData">
                                  <ref key="filterNode" refId="120"/>
                                  <s key="dim">DEST1_LC_01</s>
                                  <i key="segmentLevel">0</i>
                                  <ref key="segment" refId="18"/>
                                  <be key="dictionaryHeader" refId="124" clsId="MultiDesc">
                                    <a key="desc" refId="125" ln="4" eid="SYS_STR">
                                      <s>ME - Modernization &amp; Extension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12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27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286</cust>
                                <i key="index">0</i>
                                <ref key="parent" refId="105"/>
                              </be>
                              <be refId="128" clsId="FilterNode">
                                <l key="dimensionOids" refId="129" ln="1" eid="DimensionOid">
                                  <cust clsId="DimensionOid">44455354315F4C435F3031-45-4F53---</cust>
                                </l>
                                <l key="AdHocParamDimensionOids" refId="130" ln="0" eid="DimensionOid"/>
                                <be key="data" refId="131" clsId="FilterNodeData">
                                  <ref key="filterNode" refId="128"/>
                                  <s key="dim">DEST1_LC_01</s>
                                  <i key="segmentLevel">0</i>
                                  <ref key="segment" refId="18"/>
                                  <be key="dictionaryHeader" refId="132" clsId="MultiDesc">
                                    <a key="desc" refId="133" ln="4" eid="SYS_STR">
                                      <s>OS - Operational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134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35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287</cust>
                                <i key="index">0</i>
                                <ref key="parent" refId="105"/>
                              </be>
                              <be refId="136" clsId="FilterNode">
                                <l key="dimensionOids" refId="137" ln="1" eid="DimensionOid">
                                  <cust clsId="DimensionOid">44455354315F4C435F3031-45-5253---</cust>
                                </l>
                                <l key="AdHocParamDimensionOids" refId="138" ln="0" eid="DimensionOid"/>
                                <be key="data" refId="139" clsId="FilterNodeData">
                                  <ref key="filterNode" refId="136"/>
                                  <s key="dim">DEST1_LC_01</s>
                                  <i key="segmentLevel">0</i>
                                  <ref key="segment" refId="18"/>
                                  <be key="dictionaryHeader" refId="140" clsId="MultiDesc">
                                    <a key="desc" refId="141" ln="4" eid="SYS_STR">
                                      <s>RS - Recurring Software as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14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43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288</cust>
                                <i key="index">0</i>
                                <ref key="parent" refId="105"/>
                              </be>
                              <be refId="144" clsId="FilterNode">
                                <l key="dimensionOids" refId="145" ln="1" eid="DimensionOid">
                                  <cust clsId="DimensionOid">44455354315F4C435F3031-45-5243---</cust>
                                </l>
                                <l key="AdHocParamDimensionOids" refId="146" ln="0" eid="DimensionOid"/>
                                <be key="data" refId="147" clsId="FilterNodeData">
                                  <ref key="filterNode" refId="144"/>
                                  <s key="dim">DEST1_LC_01</s>
                                  <i key="segmentLevel">0</i>
                                  <ref key="segment" refId="18"/>
                                  <be key="dictionaryHeader" refId="148" clsId="MultiDesc">
                                    <a key="desc" refId="149" ln="4" eid="SYS_STR">
                                      <s>RC - Recurring CP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15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51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290</cust>
                                <i key="index">0</i>
                                <ref key="parent" refId="105"/>
                              </be>
                              <be refId="152" clsId="FilterNode">
                                <l key="dimensionOids" refId="153" ln="1" eid="DimensionOid">
                                  <cust clsId="DimensionOid">44455354315F4C435F3031-45-4F4C---</cust>
                                </l>
                                <l key="AdHocParamDimensionOids" refId="154" ln="0" eid="DimensionOid"/>
                                <be key="data" refId="155" clsId="FilterNodeData">
                                  <ref key="filterNode" refId="152"/>
                                  <s key="dim">DEST1_LC_01</s>
                                  <i key="segmentLevel">0</i>
                                  <ref key="segment" refId="18"/>
                                  <be key="dictionaryHeader" refId="156" clsId="MultiDesc">
                                    <a key="desc" refId="157" ln="4" eid="SYS_STR">
                                      <s>OL - Other Lifecycle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15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59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289</cust>
                                <i key="index">0</i>
                                <ref key="parent" refId="105"/>
                              </be>
                            </l>
                            <ref key="parent" refId="98"/>
                          </be>
                        </l>
                        <ref key="parent" refId="14"/>
                      </be>
                      <be refId="160" clsId="FilterNode">
                        <l key="dimensionOids" refId="161" ln="0" eid="DimensionOid"/>
                        <l key="AdHocParamDimensionOids" refId="162" ln="0" eid="DimensionOid"/>
                        <be key="data" refId="163" clsId="FilterNodeData">
                          <ref key="filterNode" refId="160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164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65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151</cust>
                        <s key="cod">PH</s>
                        <s key="desc"/>
                        <i key="index">0</i>
                        <l key="children" refId="166" ln="1" eid="Framework.com.tagetik.trees.INode,framework">
                          <be refId="167" clsId="FilterNode">
                            <l key="dimensionOids" refId="168" ln="0" eid="DimensionOid"/>
                            <l key="AdHocParamDimensionOids" refId="169" ln="0" eid="DimensionOid"/>
                            <be key="data" refId="170" clsId="FilterNodeData">
                              <ref key="filterNode" refId="167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171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72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264</cust>
                            <s key="cod">PH</s>
                            <s key="desc"/>
                            <i key="index">0</i>
                            <l key="children" refId="173" ln="1" eid="Framework.com.tagetik.trees.INode,framework">
                              <be refId="174" clsId="FilterNode">
                                <l key="dimensionOids" refId="175" ln="0" eid="DimensionOid"/>
                                <l key="AdHocParamDimensionOids" refId="176" ln="0" eid="DimensionOid"/>
                                <be key="data" refId="177" clsId="FilterNodeData">
                                  <ref key="filterNode" refId="174"/>
                                  <s key="dim">DEST1_LC_01</s>
                                  <i key="segmentLevel">0</i>
                                  <ref key="segment" refId="18"/>
                                  <be key="reportingFormula" refId="178" clsId="ReportingFormula">
                                    <b key="serverFormula">N</b>
                                    <b key="formulaRule">N</b>
                                    <s key="formula">sum({145}:{149})</s>
                                  </be>
                                  <be key="dictionaryHeader" refId="179" clsId="MultiDesc">
                                    <a key="desc" refId="180" ln="4" eid="SYS_STR">
                                      <s>Cost of Sales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18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186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82" keid="SYS_STR" veid="EFReportingNodeType">
                                    <key>
                                      <s>151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152</cust>
                                <s key="cod">PH</s>
                                <s key="desc"/>
                                <i key="index">0</i>
                                <ref key="parent" refId="167"/>
                              </be>
                            </l>
                            <ref key="parent" refId="160"/>
                          </be>
                        </l>
                        <ref key="parent" refId="14"/>
                      </be>
                      <be refId="183" clsId="FilterNode">
                        <l key="dimensionOids" refId="184" ln="1" eid="DimensionOid">
                          <cust clsId="DimensionOid">564F435F50414C-45-34303030---</cust>
                        </l>
                        <l key="AdHocParamDimensionOids" refId="185" ln="0" eid="DimensionOid"/>
                        <be key="data" refId="186" clsId="FilterNodeData">
                          <ref key="filterNode" refId="183"/>
                          <s key="dim">VOC_PAL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187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88" keid="SYS_STR" veid="EFReportingNodeType">
                            <key>
                              <s>564F435F50414C-45-34303030---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144</cust>
                        <i key="index">0</i>
                        <l key="children" refId="189" ln="1" eid="Framework.com.tagetik.trees.INode,framework">
                          <be refId="190" clsId="FilterNode">
                            <l key="dimensionOids" refId="191" ln="1" eid="DimensionOid">
                              <cust clsId="DimensionOid">4341545F24-4E-534132---</cust>
                            </l>
                            <l key="AdHocParamDimensionOids" refId="192" ln="0" eid="DimensionOid"/>
                            <be key="data" refId="193" clsId="FilterNodeData">
                              <ref key="filterNode" refId="190"/>
                              <s key="dim">CAT_$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194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95" keid="SYS_STR" veid="EFReportingNodeType">
                                <key>
                                  <s>4341545F24-4E-534132---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291</cust>
                            <i key="index">0</i>
                            <l key="children" refId="196" ln="6" eid="Framework.com.tagetik.trees.INode,framework">
                              <be refId="197" clsId="FilterNode">
                                <l key="dimensionOids" refId="198" ln="1" eid="DimensionOid">
                                  <cust clsId="DimensionOid">44455354315F4C435F3031-45-4E46---</cust>
                                </l>
                                <l key="AdHocParamDimensionOids" refId="199" ln="0" eid="DimensionOid"/>
                                <be key="data" refId="200" clsId="FilterNodeData">
                                  <ref key="filterNode" refId="197"/>
                                  <s key="dim">DEST1_LC_01</s>
                                  <i key="segmentLevel">0</i>
                                  <ref key="segment" refId="18"/>
                                  <be key="reportingFormula" refId="201" clsId="ReportingFormula">
                                    <b key="serverFormula">N</b>
                                    <b key="formulaRule">N</b>
                                    <s key="formula">if({156}&lt;0,{156}, if({187}&gt;=0,{187}*{285}-{285},{256}))</s>
                                  </be>
                                  <be key="dictionaryHeader" refId="202" clsId="MultiDesc">
                                    <a key="desc" refId="203" ln="4" eid="SYS_STR">
                                      <s>NF - New Facility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204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e key="editability" refId="205" id="EditableEnum">P</e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134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06" keid="SYS_STR" veid="EFReportingNodeType">
                                    <key>
                                      <s>44455354315F4C435F3031-45-4E46---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145</cust>
                                <i key="index">0</i>
                                <ref key="parent" refId="190"/>
                              </be>
                              <be refId="207" clsId="FilterNode">
                                <l key="dimensionOids" refId="208" ln="1" eid="DimensionOid">
                                  <cust clsId="DimensionOid">44455354315F4C435F3031-45-4D45---</cust>
                                </l>
                                <l key="AdHocParamDimensionOids" refId="209" ln="0" eid="DimensionOid"/>
                                <be key="data" refId="210" clsId="FilterNodeData">
                                  <ref key="filterNode" refId="207"/>
                                  <s key="dim">DEST1_LC_01</s>
                                  <i key="segmentLevel">0</i>
                                  <ref key="segment" refId="18"/>
                                  <be key="reportingFormula" refId="211" clsId="ReportingFormula">
                                    <b key="serverFormula">N</b>
                                    <b key="formulaRule">N</b>
                                    <s key="formula">if({157}&lt;0,{157}, if({188}&gt;0,{188}*{286}-{286},{257}))</s>
                                  </be>
                                  <be key="dictionaryHeader" refId="212" clsId="MultiDesc">
                                    <a key="desc" refId="213" ln="4" eid="SYS_STR">
                                      <s>ME - Modernization &amp; Extension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214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0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116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15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146</cust>
                                <i key="index">0</i>
                                <ref key="parent" refId="190"/>
                              </be>
                              <be refId="216" clsId="FilterNode">
                                <l key="dimensionOids" refId="217" ln="1" eid="DimensionOid">
                                  <cust clsId="DimensionOid">44455354315F4C435F3031-45-4F53---</cust>
                                </l>
                                <l key="AdHocParamDimensionOids" refId="218" ln="0" eid="DimensionOid"/>
                                <be key="data" refId="219" clsId="FilterNodeData">
                                  <ref key="filterNode" refId="216"/>
                                  <s key="dim">DEST1_LC_01</s>
                                  <i key="segmentLevel">0</i>
                                  <ref key="segment" refId="18"/>
                                  <be key="reportingFormula" refId="220" clsId="ReportingFormula">
                                    <b key="serverFormula">N</b>
                                    <b key="formulaRule">N</b>
                                    <s key="formula">if({158}&lt;0,{158}, if({189}&gt;0,{189}*{287}-{287},{258}))</s>
                                  </be>
                                  <be key="dictionaryHeader" refId="221" clsId="MultiDesc">
                                    <a key="desc" refId="222" ln="4" eid="SYS_STR">
                                      <s>OS - Operational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223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0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116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24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147</cust>
                                <i key="index">0</i>
                                <ref key="parent" refId="190"/>
                              </be>
                              <be refId="225" clsId="FilterNode">
                                <l key="dimensionOids" refId="226" ln="1" eid="DimensionOid">
                                  <cust clsId="DimensionOid">44455354315F4C435F3031-45-5253---</cust>
                                </l>
                                <l key="AdHocParamDimensionOids" refId="227" ln="0" eid="DimensionOid"/>
                                <be key="data" refId="228" clsId="FilterNodeData">
                                  <ref key="filterNode" refId="225"/>
                                  <s key="dim">DEST1_LC_01</s>
                                  <i key="segmentLevel">0</i>
                                  <ref key="segment" refId="18"/>
                                  <be key="reportingFormula" refId="229" clsId="ReportingFormula">
                                    <b key="serverFormula">N</b>
                                    <b key="formulaRule">N</b>
                                    <s key="formula">if({159}&lt;0,{159}, if({190}&gt;0,{190}*{288}-{288},{259}))</s>
                                  </be>
                                  <be key="dictionaryHeader" refId="230" clsId="MultiDesc">
                                    <a key="desc" refId="231" ln="4" eid="SYS_STR">
                                      <s>RS - Recurring Software as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23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0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116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33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148</cust>
                                <i key="index">0</i>
                                <ref key="parent" refId="190"/>
                              </be>
                              <be refId="234" clsId="FilterNode">
                                <l key="dimensionOids" refId="235" ln="1" eid="DimensionOid">
                                  <cust clsId="DimensionOid">44455354315F4C435F3031-45-5243---</cust>
                                </l>
                                <l key="AdHocParamDimensionOids" refId="236" ln="0" eid="DimensionOid"/>
                                <be key="data" refId="237" clsId="FilterNodeData">
                                  <ref key="filterNode" refId="234"/>
                                  <s key="dim">DEST1_LC_01</s>
                                  <i key="segmentLevel">0</i>
                                  <ref key="segment" refId="18"/>
                                  <be key="reportingFormula" refId="238" clsId="ReportingFormula">
                                    <b key="serverFormula">N</b>
                                    <b key="formulaRule">N</b>
                                    <s key="formula">if({161}&lt;0,{161}, if({192}&gt;0,{192}*{290}-{290},{261}))</s>
                                  </be>
                                  <be key="dictionaryHeader" refId="239" clsId="MultiDesc">
                                    <a key="desc" refId="240" ln="4" eid="SYS_STR">
                                      <s>RC - Recurring CP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24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0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116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42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150</cust>
                                <i key="index">0</i>
                                <ref key="parent" refId="190"/>
                              </be>
                              <be refId="243" clsId="FilterNode">
                                <l key="dimensionOids" refId="244" ln="1" eid="DimensionOid">
                                  <cust clsId="DimensionOid">44455354315F4C435F3031-45-4F4C---</cust>
                                </l>
                                <l key="AdHocParamDimensionOids" refId="245" ln="0" eid="DimensionOid"/>
                                <be key="data" refId="246" clsId="FilterNodeData">
                                  <ref key="filterNode" refId="243"/>
                                  <s key="dim">DEST1_LC_01</s>
                                  <i key="segmentLevel">0</i>
                                  <ref key="segment" refId="18"/>
                                  <be key="reportingFormula" refId="247" clsId="ReportingFormula">
                                    <b key="serverFormula">N</b>
                                    <b key="formulaRule">N</b>
                                    <s key="formula">if({160}&lt;0,{160}, if({191}&gt;0,{191}*{289}-{289},{260}))</s>
                                  </be>
                                  <be key="dictionaryHeader" refId="248" clsId="MultiDesc">
                                    <a key="desc" refId="249" ln="4" eid="SYS_STR">
                                      <s>OL - Other Lifecycle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25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05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116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51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149</cust>
                                <i key="index">0</i>
                                <ref key="parent" refId="190"/>
                              </be>
                            </l>
                            <ref key="parent" refId="183"/>
                          </be>
                        </l>
                        <ref key="parent" refId="14"/>
                      </be>
                      <be refId="252" clsId="FilterNode">
                        <l key="dimensionOids" refId="253" ln="0" eid="DimensionOid"/>
                        <l key="AdHocParamDimensionOids" refId="254" ln="0" eid="DimensionOid"/>
                        <be key="data" refId="255" clsId="FilterNodeData">
                          <ref key="filterNode" refId="252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256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257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153</cust>
                        <s key="cod">PH</s>
                        <s key="desc"/>
                        <i key="index">0</i>
                        <l key="children" refId="258" ln="1" eid="Framework.com.tagetik.trees.INode,framework">
                          <be refId="259" clsId="FilterNode">
                            <l key="dimensionOids" refId="260" ln="0" eid="DimensionOid"/>
                            <l key="AdHocParamDimensionOids" refId="261" ln="0" eid="DimensionOid"/>
                            <be key="data" refId="262" clsId="FilterNodeData">
                              <ref key="filterNode" refId="259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263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264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266</cust>
                            <s key="cod">PH</s>
                            <s key="desc"/>
                            <i key="index">0</i>
                            <l key="children" refId="265" ln="1" eid="Framework.com.tagetik.trees.INode,framework">
                              <be refId="266" clsId="FilterNode">
                                <l key="dimensionOids" refId="267" ln="0" eid="DimensionOid"/>
                                <l key="AdHocParamDimensionOids" refId="268" ln="0" eid="DimensionOid"/>
                                <be key="data" refId="269" clsId="FilterNodeData">
                                  <ref key="filterNode" refId="266"/>
                                  <s key="dim">DEST1_LC_01</s>
                                  <i key="segmentLevel">0</i>
                                  <ref key="segment" refId="18"/>
                                  <be key="reportingFormula" refId="270" clsId="ReportingFormula">
                                    <b key="serverFormula">N</b>
                                    <b key="formulaRule">S</b>
                                    <s key="formula">sum({156}:{160})</s>
                                  </be>
                                  <be key="dictionaryHeader" refId="271" clsId="MultiDesc">
                                    <a key="desc" refId="272" ln="4" eid="SYS_STR">
                                      <s>Cost Overruling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273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74" keid="SYS_STR" veid="EFReportingNodeType">
                                    <key>
                                      <s>153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154</cust>
                                <s key="cod">PH</s>
                                <s key="desc"/>
                                <i key="index">0</i>
                                <ref key="parent" refId="259"/>
                              </be>
                            </l>
                            <ref key="parent" refId="252"/>
                          </be>
                        </l>
                        <ref key="parent" refId="14"/>
                      </be>
                      <be refId="275" clsId="FilterNode">
                        <l key="dimensionOids" refId="276" ln="1" eid="DimensionOid">
                          <cust clsId="DimensionOid">564F435F50414C-45-34433031---</cust>
                        </l>
                        <l key="AdHocParamDimensionOids" refId="277" ln="0" eid="DimensionOid"/>
                        <be key="data" refId="278" clsId="FilterNodeData">
                          <ref key="filterNode" refId="275"/>
                          <s key="dim">VOC_PAL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279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280" keid="SYS_STR" veid="EFReportingNodeType">
                            <key>
                              <s>564F435F50414C-45-34433031---</s>
                            </key>
                            <val>
                              <ref refId="32"/>
                            </val>
                          </m>
                        </be>
                        <cust key="id" clsId="FilterOid">155</cust>
                        <i key="index">0</i>
                        <l key="children" refId="281" ln="1" eid="Framework.com.tagetik.trees.INode,framework">
                          <be refId="282" clsId="FilterNode">
                            <l key="dimensionOids" refId="283" ln="1" eid="DimensionOid">
                              <cust clsId="DimensionOid">4341545F24-45-53415F3032-534132--</cust>
                            </l>
                            <l key="AdHocParamDimensionOids" refId="284" ln="0" eid="DimensionOid"/>
                            <be key="data" refId="285" clsId="FilterNodeData">
                              <ref key="filterNode" refId="282"/>
                              <s key="dim">CAT_$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286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287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267</cust>
                            <i key="index">0</i>
                            <l key="children" refId="288" ln="6" eid="Framework.com.tagetik.trees.INode,framework">
                              <be refId="289" clsId="FilterNode">
                                <l key="dimensionOids" refId="290" ln="1" eid="DimensionOid">
                                  <cust clsId="DimensionOid">44455354315F4C435F3031-45-4E46---</cust>
                                </l>
                                <l key="AdHocParamDimensionOids" refId="291" ln="0" eid="DimensionOid"/>
                                <be key="data" refId="292" clsId="FilterNodeData">
                                  <ref key="filterNode" refId="289"/>
                                  <s key="dim">DEST1_LC_01</s>
                                  <i key="segmentLevel">0</i>
                                  <ref key="segment" refId="18"/>
                                  <be key="dictionaryHeader" refId="293" clsId="MultiDesc">
                                    <a key="desc" refId="294" ln="4" eid="SYS_STR">
                                      <s>NF - New Facility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29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296" keid="SYS_STR" veid="EFReportingNodeType">
                                    <key>
                                      <s>44455354315F4C435F3031-45-4E46---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156</cust>
                                <i key="index">0</i>
                                <ref key="parent" refId="282"/>
                              </be>
                              <be refId="297" clsId="FilterNode">
                                <l key="dimensionOids" refId="298" ln="1" eid="DimensionOid">
                                  <cust clsId="DimensionOid">44455354315F4C435F3031-45-4D45---</cust>
                                </l>
                                <l key="AdHocParamDimensionOids" refId="299" ln="0" eid="DimensionOid"/>
                                <be key="data" refId="300" clsId="FilterNodeData">
                                  <ref key="filterNode" refId="297"/>
                                  <s key="dim">DEST1_LC_01</s>
                                  <i key="segmentLevel">0</i>
                                  <ref key="segment" refId="18"/>
                                  <be key="dictionaryHeader" refId="301" clsId="MultiDesc">
                                    <a key="desc" refId="302" ln="4" eid="SYS_STR">
                                      <s>ME - Modernization &amp; Extension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303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04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157</cust>
                                <i key="index">0</i>
                                <ref key="parent" refId="282"/>
                              </be>
                              <be refId="305" clsId="FilterNode">
                                <l key="dimensionOids" refId="306" ln="1" eid="DimensionOid">
                                  <cust clsId="DimensionOid">44455354315F4C435F3031-45-4F53---</cust>
                                </l>
                                <l key="AdHocParamDimensionOids" refId="307" ln="0" eid="DimensionOid"/>
                                <be key="data" refId="308" clsId="FilterNodeData">
                                  <ref key="filterNode" refId="305"/>
                                  <s key="dim">DEST1_LC_01</s>
                                  <i key="segmentLevel">0</i>
                                  <ref key="segment" refId="18"/>
                                  <be key="dictionaryHeader" refId="309" clsId="MultiDesc">
                                    <a key="desc" refId="310" ln="4" eid="SYS_STR">
                                      <s>OS - Operational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31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12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158</cust>
                                <i key="index">0</i>
                                <ref key="parent" refId="282"/>
                              </be>
                              <be refId="313" clsId="FilterNode">
                                <l key="dimensionOids" refId="314" ln="1" eid="DimensionOid">
                                  <cust clsId="DimensionOid">44455354315F4C435F3031-45-5253---</cust>
                                </l>
                                <l key="AdHocParamDimensionOids" refId="315" ln="0" eid="DimensionOid"/>
                                <be key="data" refId="316" clsId="FilterNodeData">
                                  <ref key="filterNode" refId="313"/>
                                  <s key="dim">DEST1_LC_01</s>
                                  <i key="segmentLevel">0</i>
                                  <ref key="segment" refId="18"/>
                                  <be key="dictionaryHeader" refId="317" clsId="MultiDesc">
                                    <a key="desc" refId="318" ln="4" eid="SYS_STR">
                                      <s>RS - Recurring Software as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319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20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159</cust>
                                <i key="index">0</i>
                                <ref key="parent" refId="282"/>
                              </be>
                              <be refId="321" clsId="FilterNode">
                                <l key="dimensionOids" refId="322" ln="1" eid="DimensionOid">
                                  <cust clsId="DimensionOid">44455354315F4C435F3031-45-5243---</cust>
                                </l>
                                <l key="AdHocParamDimensionOids" refId="323" ln="0" eid="DimensionOid"/>
                                <be key="data" refId="324" clsId="FilterNodeData">
                                  <ref key="filterNode" refId="321"/>
                                  <s key="dim">DEST1_LC_01</s>
                                  <i key="segmentLevel">0</i>
                                  <ref key="segment" refId="18"/>
                                  <be key="dictionaryHeader" refId="325" clsId="MultiDesc">
                                    <a key="desc" refId="326" ln="4" eid="SYS_STR">
                                      <s>RC - Recurring CP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327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28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161</cust>
                                <i key="index">0</i>
                                <ref key="parent" refId="282"/>
                              </be>
                              <be refId="329" clsId="FilterNode">
                                <l key="dimensionOids" refId="330" ln="1" eid="DimensionOid">
                                  <cust clsId="DimensionOid">44455354315F4C435F3031-45-4F4C---</cust>
                                </l>
                                <l key="AdHocParamDimensionOids" refId="331" ln="0" eid="DimensionOid"/>
                                <be key="data" refId="332" clsId="FilterNodeData">
                                  <ref key="filterNode" refId="329"/>
                                  <s key="dim">DEST1_LC_01</s>
                                  <i key="segmentLevel">0</i>
                                  <ref key="segment" refId="18"/>
                                  <be key="dictionaryHeader" refId="333" clsId="MultiDesc">
                                    <a key="desc" refId="334" ln="4" eid="SYS_STR">
                                      <s>OL - Other Lifecycle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33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36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160</cust>
                                <i key="index">0</i>
                                <ref key="parent" refId="282"/>
                              </be>
                            </l>
                            <ref key="parent" refId="275"/>
                          </be>
                        </l>
                        <ref key="parent" refId="14"/>
                      </be>
                      <be refId="337" clsId="FilterNode">
                        <l key="dimensionOids" refId="338" ln="0" eid="DimensionOid"/>
                        <l key="AdHocParamDimensionOids" refId="339" ln="0" eid="DimensionOid"/>
                        <be key="data" refId="340" clsId="FilterNodeData">
                          <ref key="filterNode" refId="337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341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342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162</cust>
                        <s key="cod">PH</s>
                        <s key="desc"/>
                        <i key="index">0</i>
                        <l key="children" refId="343" ln="1" eid="Framework.com.tagetik.trees.INode,framework">
                          <be refId="344" clsId="FilterNode">
                            <l key="dimensionOids" refId="345" ln="0" eid="DimensionOid"/>
                            <l key="AdHocParamDimensionOids" refId="346" ln="0" eid="DimensionOid"/>
                            <be key="data" refId="347" clsId="FilterNodeData">
                              <ref key="filterNode" refId="344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348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349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268</cust>
                            <s key="cod">PH</s>
                            <s key="desc"/>
                            <i key="index">0</i>
                            <l key="children" refId="350" ln="1" eid="Framework.com.tagetik.trees.INode,framework">
                              <be refId="351" clsId="FilterNode">
                                <l key="dimensionOids" refId="352" ln="0" eid="DimensionOid"/>
                                <l key="AdHocParamDimensionOids" refId="353" ln="0" eid="DimensionOid"/>
                                <be key="data" refId="354" clsId="FilterNodeData">
                                  <ref key="filterNode" refId="351"/>
                                  <s key="dim">DEST1_LC_01</s>
                                  <i key="segmentLevel">0</i>
                                  <ref key="segment" refId="18"/>
                                  <be key="reportingFormula" refId="355" clsId="ReportingFormula">
                                    <b key="serverFormula">N</b>
                                    <b key="formulaRule">N</b>
                                    <s key="formula">sum({256}:{260})</s>
                                  </be>
                                  <be key="HideRC" refId="356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357" clsId="MultiDesc">
                                    <a key="desc" refId="358" ln="4" eid="SYS_STR">
                                      <s>Cost of Sales (Imported)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359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188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60" keid="SYS_STR" veid="EFReportingNodeType">
                                    <key>
                                      <s>162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163</cust>
                                <s key="cod">PH</s>
                                <s key="desc"/>
                                <i key="index">0</i>
                                <ref key="parent" refId="344"/>
                              </be>
                            </l>
                            <ref key="parent" refId="337"/>
                          </be>
                        </l>
                        <ref key="parent" refId="14"/>
                      </be>
                      <be refId="361" clsId="FilterNode">
                        <l key="dimensionOids" refId="362" ln="1" eid="DimensionOid">
                          <cust clsId="DimensionOid">564F435F50414C-45-34303030---</cust>
                        </l>
                        <l key="AdHocParamDimensionOids" refId="363" ln="0" eid="DimensionOid"/>
                        <be key="data" refId="364" clsId="FilterNodeData">
                          <ref key="filterNode" refId="361"/>
                          <s key="dim">VOC_PAL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365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366" keid="SYS_STR" veid="EFReportingNodeType">
                            <key>
                              <s>564F435F50414C-45-34303030---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254</cust>
                        <i key="index">0</i>
                        <l key="children" refId="367" ln="1" eid="Framework.com.tagetik.trees.INode,framework">
                          <be refId="368" clsId="FilterNode">
                            <l key="dimensionOids" refId="369" ln="1" eid="DimensionOid">
                              <cust clsId="DimensionOid">4341545F24-4E-534131---</cust>
                            </l>
                            <l key="AdHocParamDimensionOids" refId="370" ln="0" eid="DimensionOid"/>
                            <be key="data" refId="371" clsId="FilterNodeData">
                              <ref key="filterNode" refId="368"/>
                              <s key="dim">CAT_$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372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299</cust>
                            <i key="index">0</i>
                            <l key="children" refId="373" ln="6" eid="Framework.com.tagetik.trees.INode,framework">
                              <be refId="374" clsId="FilterNode">
                                <l key="dimensionOids" refId="375" ln="1" eid="DimensionOid">
                                  <cust clsId="DimensionOid">44455354315F4C435F3031-45-4E46---</cust>
                                </l>
                                <l key="AdHocParamDimensionOids" refId="376" ln="0" eid="DimensionOid"/>
                                <be key="data" refId="377" clsId="FilterNodeData">
                                  <ref key="filterNode" refId="374"/>
                                  <s key="dim">DEST1_LC_01</s>
                                  <i key="segmentLevel">0</i>
                                  <ref key="segment" refId="18"/>
                                  <be key="HideRC" refId="378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379" clsId="MultiDesc">
                                    <a key="desc" refId="380" ln="4" eid="SYS_STR">
                                      <s>NF - New Facility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38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e key="editability" refId="382" id="EditableEnum">N</e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83" keid="SYS_STR" veid="EFReportingNodeType">
                                    <key>
                                      <s>44455354315F4C435F3031-45-4E46---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256</cust>
                                <i key="index">0</i>
                                <ref key="parent" refId="368"/>
                              </be>
                              <be refId="384" clsId="FilterNode">
                                <l key="dimensionOids" refId="385" ln="1" eid="DimensionOid">
                                  <cust clsId="DimensionOid">44455354315F4C435F3031-45-4D45---</cust>
                                </l>
                                <l key="AdHocParamDimensionOids" refId="386" ln="0" eid="DimensionOid"/>
                                <be key="data" refId="387" clsId="FilterNodeData">
                                  <ref key="filterNode" refId="384"/>
                                  <s key="dim">DEST1_LC_01</s>
                                  <i key="segmentLevel">0</i>
                                  <ref key="segment" refId="18"/>
                                  <be key="HideRC" refId="388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389" clsId="MultiDesc">
                                    <a key="desc" refId="390" ln="4" eid="SYS_STR">
                                      <s>ME - Modernization &amp; Extension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39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392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257</cust>
                                <i key="index">0</i>
                                <ref key="parent" refId="368"/>
                              </be>
                              <be refId="393" clsId="FilterNode">
                                <l key="dimensionOids" refId="394" ln="1" eid="DimensionOid">
                                  <cust clsId="DimensionOid">44455354315F4C435F3031-45-4F53---</cust>
                                </l>
                                <l key="AdHocParamDimensionOids" refId="395" ln="0" eid="DimensionOid"/>
                                <be key="data" refId="396" clsId="FilterNodeData">
                                  <ref key="filterNode" refId="393"/>
                                  <s key="dim">DEST1_LC_01</s>
                                  <i key="segmentLevel">0</i>
                                  <ref key="segment" refId="18"/>
                                  <be key="HideRC" refId="397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398" clsId="MultiDesc">
                                    <a key="desc" refId="399" ln="4" eid="SYS_STR">
                                      <s>OS - Operational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40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01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258</cust>
                                <i key="index">0</i>
                                <ref key="parent" refId="368"/>
                              </be>
                              <be refId="402" clsId="FilterNode">
                                <l key="dimensionOids" refId="403" ln="1" eid="DimensionOid">
                                  <cust clsId="DimensionOid">44455354315F4C435F3031-45-5253---</cust>
                                </l>
                                <l key="AdHocParamDimensionOids" refId="404" ln="0" eid="DimensionOid"/>
                                <be key="data" refId="405" clsId="FilterNodeData">
                                  <ref key="filterNode" refId="402"/>
                                  <s key="dim">DEST1_LC_01</s>
                                  <i key="segmentLevel">0</i>
                                  <ref key="segment" refId="18"/>
                                  <be key="HideRC" refId="406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407" clsId="MultiDesc">
                                    <a key="desc" refId="408" ln="4" eid="SYS_STR">
                                      <s>RS - Recurring Software as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409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10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259</cust>
                                <i key="index">0</i>
                                <ref key="parent" refId="368"/>
                              </be>
                              <be refId="411" clsId="FilterNode">
                                <l key="dimensionOids" refId="412" ln="1" eid="DimensionOid">
                                  <cust clsId="DimensionOid">44455354315F4C435F3031-45-5243---</cust>
                                </l>
                                <l key="AdHocParamDimensionOids" refId="413" ln="0" eid="DimensionOid"/>
                                <be key="data" refId="414" clsId="FilterNodeData">
                                  <ref key="filterNode" refId="411"/>
                                  <s key="dim">DEST1_LC_01</s>
                                  <i key="segmentLevel">0</i>
                                  <ref key="segment" refId="18"/>
                                  <be key="HideRC" refId="415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416" clsId="MultiDesc">
                                    <a key="desc" refId="417" ln="4" eid="SYS_STR">
                                      <s>RC - Recurring CP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41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19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261</cust>
                                <i key="index">0</i>
                                <ref key="parent" refId="368"/>
                              </be>
                              <be refId="420" clsId="FilterNode">
                                <l key="dimensionOids" refId="421" ln="1" eid="DimensionOid">
                                  <cust clsId="DimensionOid">44455354315F4C435F3031-45-4F4C---</cust>
                                </l>
                                <l key="AdHocParamDimensionOids" refId="422" ln="0" eid="DimensionOid"/>
                                <be key="data" refId="423" clsId="FilterNodeData">
                                  <ref key="filterNode" refId="420"/>
                                  <s key="dim">DEST1_LC_01</s>
                                  <i key="segmentLevel">0</i>
                                  <ref key="segment" refId="18"/>
                                  <be key="HideRC" refId="424" clsId="HideRCBean">
                                    <ref key="HideMode" refId="47"/>
                                    <b key="ExcludeFormulas">N</b>
                                    <b key="ExcludeTextCells">N</b>
                                    <b key="ExcludeHeaders">S</b>
                                    <b key="CheckAllMatrices">N</b>
                                    <b key="hideEditableCells">N</b>
                                  </be>
                                  <be key="dictionaryHeader" refId="425" clsId="MultiDesc">
                                    <a key="desc" refId="426" ln="4" eid="SYS_STR">
                                      <s>OL - Other Lifecycle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427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28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260</cust>
                                <i key="index">0</i>
                                <ref key="parent" refId="368"/>
                              </be>
                            </l>
                            <ref key="parent" refId="361"/>
                          </be>
                        </l>
                        <ref key="parent" refId="14"/>
                      </be>
                      <be refId="429" clsId="FilterNode">
                        <l key="dimensionOids" refId="430" ln="0" eid="DimensionOid"/>
                        <l key="AdHocParamDimensionOids" refId="431" ln="0" eid="DimensionOid"/>
                        <be key="data" refId="432" clsId="FilterNodeData">
                          <ref key="filterNode" refId="429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433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434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173</cust>
                        <s key="cod">PH</s>
                        <s key="desc"/>
                        <i key="index">0</i>
                        <l key="children" refId="435" ln="1" eid="Framework.com.tagetik.trees.INode,framework">
                          <be refId="436" clsId="FilterNode">
                            <l key="dimensionOids" refId="437" ln="0" eid="DimensionOid"/>
                            <l key="AdHocParamDimensionOids" refId="438" ln="0" eid="DimensionOid"/>
                            <be key="data" refId="439" clsId="FilterNodeData">
                              <ref key="filterNode" refId="436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440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441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272</cust>
                            <s key="cod">PH</s>
                            <s key="desc"/>
                            <i key="index">0</i>
                            <l key="children" refId="442" ln="1" eid="Framework.com.tagetik.trees.INode,framework">
                              <be refId="443" clsId="FilterNode">
                                <l key="dimensionOids" refId="444" ln="0" eid="DimensionOid"/>
                                <l key="AdHocParamDimensionOids" refId="445" ln="0" eid="DimensionOid"/>
                                <be key="data" refId="446" clsId="FilterNodeData">
                                  <ref key="filterNode" refId="443"/>
                                  <s key="dim">DEST1_LC_01</s>
                                  <i key="segmentLevel">0</i>
                                  <ref key="segment" refId="18"/>
                                  <be key="reportingFormula" refId="447" clsId="ReportingFormula">
                                    <b key="serverFormula">N</b>
                                    <b key="formulaRule">N</b>
                                    <s key="formula">sum({176}:{181})</s>
                                  </be>
                                  <be key="dictionaryHeader" refId="448" clsId="MultiDesc">
                                    <a key="desc" refId="449" ln="4" eid="SYS_STR">
                                      <s>GP excl. OOI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45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184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51" keid="SYS_STR" veid="EFReportingNodeType">
                                    <key>
                                      <s>173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174</cust>
                                <s key="cod">PH</s>
                                <s key="desc"/>
                                <i key="index">0</i>
                                <ref key="parent" refId="436"/>
                              </be>
                            </l>
                            <ref key="parent" refId="429"/>
                          </be>
                        </l>
                        <ref key="parent" refId="14"/>
                      </be>
                      <be refId="452" clsId="FilterNode">
                        <l key="dimensionOids" refId="453" ln="0" eid="DimensionOid"/>
                        <l key="AdHocParamDimensionOids" refId="454" ln="0" eid="DimensionOid"/>
                        <be key="data" refId="455" clsId="FilterNodeData">
                          <ref key="filterNode" refId="452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456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457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175</cust>
                        <s key="cod">PH</s>
                        <s key="desc"/>
                        <i key="index">0</i>
                        <l key="children" refId="458" ln="1" eid="Framework.com.tagetik.trees.INode,framework">
                          <be refId="459" clsId="FilterNode">
                            <l key="dimensionOids" refId="460" ln="0" eid="DimensionOid"/>
                            <l key="AdHocParamDimensionOids" refId="461" ln="0" eid="DimensionOid"/>
                            <be key="data" refId="462" clsId="FilterNodeData">
                              <ref key="filterNode" refId="459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463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464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273</cust>
                            <s key="cod">PH</s>
                            <s key="desc"/>
                            <i key="index">0</i>
                            <l key="children" refId="465" ln="6" eid="Framework.com.tagetik.trees.INode,framework">
                              <be refId="466" clsId="FilterNode">
                                <l key="dimensionOids" refId="467" ln="0" eid="DimensionOid"/>
                                <l key="AdHocParamDimensionOids" refId="468" ln="0" eid="DimensionOid"/>
                                <be key="data" refId="469" clsId="FilterNodeData">
                                  <ref key="filterNode" refId="466"/>
                                  <s key="dim">DEST1_LC_01</s>
                                  <i key="segmentLevel">0</i>
                                  <ref key="segment" refId="18"/>
                                  <be key="reportingFormula" refId="470" clsId="ReportingFormula">
                                    <b key="serverFormula">N</b>
                                    <b key="formulaRule">S</b>
                                    <s key="formula">sum({285},{145})</s>
                                  </be>
                                  <be key="dictionaryHeader" refId="471" clsId="MultiDesc">
                                    <a key="desc" refId="472" ln="4" eid="SYS_STR">
                                      <s>NF - New Facility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473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74" keid="SYS_STR" veid="EFReportingNodeType">
                                    <key>
                                      <s>175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176</cust>
                                <s key="cod">PH</s>
                                <s key="desc"/>
                                <i key="index">0</i>
                                <ref key="parent" refId="459"/>
                              </be>
                              <be refId="475" clsId="FilterNode">
                                <l key="dimensionOids" refId="476" ln="0" eid="DimensionOid"/>
                                <l key="AdHocParamDimensionOids" refId="477" ln="0" eid="DimensionOid"/>
                                <be key="data" refId="478" clsId="FilterNodeData">
                                  <ref key="filterNode" refId="475"/>
                                  <s key="dim">DEST1_LC_01</s>
                                  <i key="segmentLevel">0</i>
                                  <ref key="segment" refId="18"/>
                                  <be key="reportingFormula" refId="479" clsId="ReportingFormula">
                                    <b key="serverFormula">N</b>
                                    <b key="formulaRule">S</b>
                                    <s key="formula">sum({286},{146})</s>
                                  </be>
                                  <be key="dictionaryHeader" refId="480" clsId="MultiDesc">
                                    <a key="desc" refId="481" ln="4" eid="SYS_STR">
                                      <s>ME - Modernization &amp; Extension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48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83" keid="SYS_STR" veid="EFReportingNodeType">
                                    <key>
                                      <s>176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180</cust>
                                <s key="cod">PH</s>
                                <s key="desc"/>
                                <i key="index">0</i>
                                <ref key="parent" refId="459"/>
                              </be>
                              <be refId="484" clsId="FilterNode">
                                <l key="dimensionOids" refId="485" ln="0" eid="DimensionOid"/>
                                <l key="AdHocParamDimensionOids" refId="486" ln="0" eid="DimensionOid"/>
                                <be key="data" refId="487" clsId="FilterNodeData">
                                  <ref key="filterNode" refId="484"/>
                                  <s key="dim">DEST1_LC_01</s>
                                  <i key="segmentLevel">0</i>
                                  <ref key="segment" refId="18"/>
                                  <be key="reportingFormula" refId="488" clsId="ReportingFormula">
                                    <b key="serverFormula">N</b>
                                    <b key="formulaRule">S</b>
                                    <s key="formula">sum({287},{147})</s>
                                  </be>
                                  <be key="dictionaryHeader" refId="489" clsId="MultiDesc">
                                    <a key="desc" refId="490" ln="4" eid="SYS_STR">
                                      <s>OS - Operational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49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492" keid="SYS_STR" veid="EFReportingNodeType">
                                    <key>
                                      <s>176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179</cust>
                                <s key="cod">PH</s>
                                <s key="desc"/>
                                <i key="index">0</i>
                                <ref key="parent" refId="459"/>
                              </be>
                              <be refId="493" clsId="FilterNode">
                                <l key="dimensionOids" refId="494" ln="0" eid="DimensionOid"/>
                                <l key="AdHocParamDimensionOids" refId="495" ln="0" eid="DimensionOid"/>
                                <be key="data" refId="496" clsId="FilterNodeData">
                                  <ref key="filterNode" refId="493"/>
                                  <s key="dim">DEST1_LC_01</s>
                                  <i key="segmentLevel">0</i>
                                  <ref key="segment" refId="18"/>
                                  <be key="reportingFormula" refId="497" clsId="ReportingFormula">
                                    <b key="serverFormula">N</b>
                                    <b key="formulaRule">S</b>
                                    <s key="formula">sum({288},{148})</s>
                                  </be>
                                  <be key="dictionaryHeader" refId="498" clsId="MultiDesc">
                                    <a key="desc" refId="499" ln="4" eid="SYS_STR">
                                      <s>RS - Recurring Software as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50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01" keid="SYS_STR" veid="EFReportingNodeType">
                                    <key>
                                      <s>176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178</cust>
                                <s key="cod">PH</s>
                                <s key="desc"/>
                                <i key="index">0</i>
                                <ref key="parent" refId="459"/>
                              </be>
                              <be refId="502" clsId="FilterNode">
                                <l key="dimensionOids" refId="503" ln="0" eid="DimensionOid"/>
                                <l key="AdHocParamDimensionOids" refId="504" ln="0" eid="DimensionOid"/>
                                <be key="data" refId="505" clsId="FilterNodeData">
                                  <ref key="filterNode" refId="502"/>
                                  <s key="dim">DEST1_LC_01</s>
                                  <i key="segmentLevel">0</i>
                                  <ref key="segment" refId="18"/>
                                  <be key="reportingFormula" refId="506" clsId="ReportingFormula">
                                    <b key="serverFormula">N</b>
                                    <b key="formulaRule">S</b>
                                    <s key="formula">sum({290},{150})</s>
                                  </be>
                                  <be key="dictionaryHeader" refId="507" clsId="MultiDesc">
                                    <a key="desc" refId="508" ln="4" eid="SYS_STR">
                                      <s>RC - Recurring CP</s>
                                      <s/>
                                      <s/>
                                      <s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509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10" keid="SYS_STR" veid="EFReportingNodeType">
                                    <key>
                                      <s>176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177</cust>
                                <s key="cod">PH</s>
                                <s key="desc"/>
                                <i key="index">0</i>
                                <ref key="parent" refId="459"/>
                              </be>
                              <be refId="511" clsId="FilterNode">
                                <l key="dimensionOids" refId="512" ln="0" eid="DimensionOid"/>
                                <l key="AdHocParamDimensionOids" refId="513" ln="0" eid="DimensionOid"/>
                                <be key="data" refId="514" clsId="FilterNodeData">
                                  <ref key="filterNode" refId="511"/>
                                  <s key="dim">DEST1_LC_01</s>
                                  <i key="segmentLevel">0</i>
                                  <ref key="segment" refId="18"/>
                                  <be key="reportingFormula" refId="515" clsId="ReportingFormula">
                                    <b key="serverFormula">N</b>
                                    <b key="formulaRule">S</b>
                                    <s key="formula">sum({289},{149})</s>
                                  </be>
                                  <be key="dictionaryHeader" refId="516" clsId="MultiDesc">
                                    <a key="desc" refId="517" ln="4" eid="SYS_STR">
                                      <s>OL - Other Lifecycle</s>
                                      <s/>
                                      <s/>
                                      <s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51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117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19" keid="SYS_STR" veid="EFReportingNodeType">
                                    <key>
                                      <s>177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181</cust>
                                <s key="cod">PH</s>
                                <s key="desc"/>
                                <i key="index">0</i>
                                <ref key="parent" refId="459"/>
                              </be>
                            </l>
                            <ref key="parent" refId="452"/>
                          </be>
                        </l>
                        <ref key="parent" refId="14"/>
                      </be>
                      <be refId="520" clsId="FilterNode">
                        <l key="dimensionOids" refId="521" ln="0" eid="DimensionOid"/>
                        <l key="AdHocParamDimensionOids" refId="522" ln="0" eid="DimensionOid"/>
                        <be key="data" refId="523" clsId="FilterNodeData">
                          <ref key="filterNode" refId="520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524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525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182</cust>
                        <s key="cod">PH</s>
                        <s key="desc"/>
                        <i key="index">0</i>
                        <l key="children" refId="526" ln="1" eid="Framework.com.tagetik.trees.INode,framework">
                          <be refId="527" clsId="FilterNode">
                            <l key="dimensionOids" refId="528" ln="0" eid="DimensionOid"/>
                            <l key="AdHocParamDimensionOids" refId="529" ln="0" eid="DimensionOid"/>
                            <be key="data" refId="530" clsId="FilterNodeData">
                              <ref key="filterNode" refId="527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531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532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270</cust>
                            <s key="cod">PH</s>
                            <s key="desc"/>
                            <i key="index">0</i>
                            <l key="children" refId="533" ln="1" eid="Framework.com.tagetik.trees.INode,framework">
                              <be refId="534" clsId="FilterNode">
                                <l key="dimensionOids" refId="535" ln="0" eid="DimensionOid"/>
                                <l key="AdHocParamDimensionOids" refId="536" ln="0" eid="DimensionOid"/>
                                <be key="data" refId="537" clsId="FilterNodeData">
                                  <ref key="filterNode" refId="534"/>
                                  <s key="dim">DEST1_LC_01</s>
                                  <i key="segmentLevel">0</i>
                                  <ref key="segment" refId="18"/>
                                  <be key="reportingFormula" refId="538" clsId="ReportingFormula">
                                    <b key="serverFormula">N</b>
                                    <b key="formulaRule">S</b>
                                    <s key="formula">iferror({174}/{143},0)</s>
                                  </be>
                                  <be key="dictionaryHeader" refId="539" clsId="MultiDesc">
                                    <a key="desc" refId="540" ln="4" eid="SYS_STR">
                                      <s>GP excl. OOI in % </s>
                                      <s/>
                                      <s/>
                                      <s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54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185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42" keid="SYS_STR" veid="EFReportingNodeType">
                                    <key>
                                      <s>182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183</cust>
                                <s key="cod">PH</s>
                                <s key="desc"/>
                                <i key="index">0</i>
                                <ref key="parent" refId="527"/>
                              </be>
                            </l>
                            <ref key="parent" refId="520"/>
                          </be>
                        </l>
                        <ref key="parent" refId="14"/>
                      </be>
                      <be refId="543" clsId="FilterNode">
                        <l key="dimensionOids" refId="544" ln="1" eid="DimensionOid">
                          <cust clsId="DimensionOid">564F435F50414C-45-53415F30303031---</cust>
                        </l>
                        <l key="AdHocParamDimensionOids" refId="545" ln="0" eid="DimensionOid"/>
                        <be key="data" refId="546" clsId="FilterNodeData">
                          <ref key="filterNode" refId="543"/>
                          <s key="dim">VOC_PAL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547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548" keid="SYS_STR" veid="EFReportingNodeType">
                            <key>
                              <s>564F435F50414C-45-53415F30303031---</s>
                            </key>
                            <val>
                              <ref refId="32"/>
                            </val>
                          </m>
                        </be>
                        <cust key="id" clsId="FilterOid">186</cust>
                        <i key="index">0</i>
                        <l key="children" refId="549" ln="1" eid="Framework.com.tagetik.trees.INode,framework">
                          <be refId="550" clsId="FilterNode">
                            <l key="dimensionOids" refId="551" ln="1" eid="DimensionOid">
                              <cust clsId="DimensionOid">4341545F24-45-53415F3032-534132--</cust>
                            </l>
                            <l key="AdHocParamDimensionOids" refId="552" ln="0" eid="DimensionOid"/>
                            <be key="data" refId="553" clsId="FilterNodeData">
                              <ref key="filterNode" refId="550"/>
                              <s key="dim">CAT_$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554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271</cust>
                            <i key="index">0</i>
                            <l key="children" refId="555" ln="6" eid="Framework.com.tagetik.trees.INode,framework">
                              <be refId="556" clsId="FilterNode">
                                <l key="dimensionOids" refId="557" ln="1" eid="DimensionOid">
                                  <cust clsId="DimensionOid">44455354315F4C435F3031-45-4E46---</cust>
                                </l>
                                <l key="AdHocParamDimensionOids" refId="558" ln="0" eid="DimensionOid"/>
                                <be key="data" refId="559" clsId="FilterNodeData">
                                  <ref key="filterNode" refId="556"/>
                                  <s key="dim">DEST1_LC_01</s>
                                  <i key="segmentLevel">0</i>
                                  <ref key="segment" refId="18"/>
                                  <be key="dictionaryHeader" refId="560" clsId="MultiDesc">
                                    <a key="desc" refId="561" ln="4" eid="SYS_STR">
                                      <s>NF - New Facility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56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63" keid="SYS_STR" veid="EFReportingNodeType">
                                    <key>
                                      <s>44455354315F4C435F3031-45-4E46---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187</cust>
                                <i key="index">0</i>
                                <ref key="parent" refId="550"/>
                              </be>
                              <be refId="564" clsId="FilterNode">
                                <l key="dimensionOids" refId="565" ln="1" eid="DimensionOid">
                                  <cust clsId="DimensionOid">44455354315F4C435F3031-45-4D45---</cust>
                                </l>
                                <l key="AdHocParamDimensionOids" refId="566" ln="0" eid="DimensionOid"/>
                                <be key="data" refId="567" clsId="FilterNodeData">
                                  <ref key="filterNode" refId="564"/>
                                  <s key="dim">DEST1_LC_01</s>
                                  <i key="segmentLevel">0</i>
                                  <ref key="segment" refId="18"/>
                                  <be key="dictionaryHeader" refId="568" clsId="MultiDesc">
                                    <a key="desc" refId="569" ln="4" eid="SYS_STR">
                                      <s>ME - Modernization &amp; Extension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57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71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188</cust>
                                <i key="index">0</i>
                                <ref key="parent" refId="550"/>
                              </be>
                              <be refId="572" clsId="FilterNode">
                                <l key="dimensionOids" refId="573" ln="1" eid="DimensionOid">
                                  <cust clsId="DimensionOid">44455354315F4C435F3031-45-4F53---</cust>
                                </l>
                                <l key="AdHocParamDimensionOids" refId="574" ln="0" eid="DimensionOid"/>
                                <be key="data" refId="575" clsId="FilterNodeData">
                                  <ref key="filterNode" refId="572"/>
                                  <s key="dim">DEST1_LC_01</s>
                                  <i key="segmentLevel">0</i>
                                  <ref key="segment" refId="18"/>
                                  <be key="dictionaryHeader" refId="576" clsId="MultiDesc">
                                    <a key="desc" refId="577" ln="4" eid="SYS_STR">
                                      <s>OS - Operational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57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79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189</cust>
                                <i key="index">0</i>
                                <ref key="parent" refId="550"/>
                              </be>
                              <be refId="580" clsId="FilterNode">
                                <l key="dimensionOids" refId="581" ln="1" eid="DimensionOid">
                                  <cust clsId="DimensionOid">44455354315F4C435F3031-45-5253---</cust>
                                </l>
                                <l key="AdHocParamDimensionOids" refId="582" ln="0" eid="DimensionOid"/>
                                <be key="data" refId="583" clsId="FilterNodeData">
                                  <ref key="filterNode" refId="580"/>
                                  <s key="dim">DEST1_LC_01</s>
                                  <i key="segmentLevel">0</i>
                                  <ref key="segment" refId="18"/>
                                  <be key="dictionaryHeader" refId="584" clsId="MultiDesc">
                                    <a key="desc" refId="585" ln="4" eid="SYS_STR">
                                      <s>RS - Recurring Software as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58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87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190</cust>
                                <i key="index">0</i>
                                <ref key="parent" refId="550"/>
                              </be>
                              <be refId="588" clsId="FilterNode">
                                <l key="dimensionOids" refId="589" ln="1" eid="DimensionOid">
                                  <cust clsId="DimensionOid">44455354315F4C435F3031-45-5243---</cust>
                                </l>
                                <l key="AdHocParamDimensionOids" refId="590" ln="0" eid="DimensionOid"/>
                                <be key="data" refId="591" clsId="FilterNodeData">
                                  <ref key="filterNode" refId="588"/>
                                  <s key="dim">DEST1_LC_01</s>
                                  <i key="segmentLevel">0</i>
                                  <ref key="segment" refId="18"/>
                                  <be key="dictionaryHeader" refId="592" clsId="MultiDesc">
                                    <a key="desc" refId="593" ln="4" eid="SYS_STR">
                                      <s>RC - Recurring CP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594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595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192</cust>
                                <i key="index">0</i>
                                <ref key="parent" refId="550"/>
                              </be>
                              <be refId="596" clsId="FilterNode">
                                <l key="dimensionOids" refId="597" ln="1" eid="DimensionOid">
                                  <cust clsId="DimensionOid">44455354315F4C435F3031-45-4F4C---</cust>
                                </l>
                                <l key="AdHocParamDimensionOids" refId="598" ln="0" eid="DimensionOid"/>
                                <be key="data" refId="599" clsId="FilterNodeData">
                                  <ref key="filterNode" refId="596"/>
                                  <s key="dim">DEST1_LC_01</s>
                                  <i key="segmentLevel">0</i>
                                  <ref key="segment" refId="18"/>
                                  <be key="dictionaryHeader" refId="600" clsId="MultiDesc">
                                    <a key="desc" refId="601" ln="4" eid="SYS_STR">
                                      <s>OL - Other Lifecycle</s>
                                      <s/>
                                      <s/>
                                      <s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60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03" keid="SYS_STR" veid="EFReportingNodeType">
                                    <key>
                                      <s>44455354315F4C435F3031-45-4F4C---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44455354315F4C435F3031-45-4F53---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44455354315F4C435F3031-45-4D45---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44455354315F4C435F3031-45-5243---</s>
                                    </key>
                                    <val>
                                      <ref refId="32"/>
                                    </val>
                                    <key>
                                      <s>44455354315F4C435F3031-45-5253---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191</cust>
                                <i key="index">0</i>
                                <ref key="parent" refId="550"/>
                              </be>
                            </l>
                            <ref key="parent" refId="543"/>
                          </be>
                        </l>
                        <ref key="parent" refId="14"/>
                      </be>
                      <be refId="604" clsId="FilterNode">
                        <l key="dimensionOids" refId="605" ln="0" eid="DimensionOid"/>
                        <l key="AdHocParamDimensionOids" refId="606" ln="0" eid="DimensionOid"/>
                        <be key="data" refId="607" clsId="FilterNodeData">
                          <ref key="filterNode" refId="604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608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609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184</cust>
                        <s key="cod">PH</s>
                        <s key="desc"/>
                        <i key="index">0</i>
                        <l key="children" refId="610" ln="1" eid="Framework.com.tagetik.trees.INode,framework">
                          <be refId="611" clsId="FilterNode">
                            <l key="dimensionOids" refId="612" ln="0" eid="DimensionOid"/>
                            <l key="AdHocParamDimensionOids" refId="613" ln="0" eid="DimensionOid"/>
                            <be key="data" refId="614" clsId="FilterNodeData">
                              <ref key="filterNode" refId="611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615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616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274</cust>
                            <s key="cod">PH</s>
                            <s key="desc"/>
                            <i key="index">0</i>
                            <l key="children" refId="617" ln="1" eid="Framework.com.tagetik.trees.INode,framework">
                              <be refId="618" clsId="FilterNode">
                                <l key="dimensionOids" refId="619" ln="0" eid="DimensionOid"/>
                                <l key="AdHocParamDimensionOids" refId="620" ln="0" eid="DimensionOid"/>
                                <be key="data" refId="621" clsId="FilterNodeData">
                                  <ref key="filterNode" refId="618"/>
                                  <s key="dim">DEST1_LC_01</s>
                                  <i key="segmentLevel">0</i>
                                  <ref key="segment" refId="18"/>
                                  <be key="reportingFormula" refId="622" clsId="ReportingFormula">
                                    <b key="serverFormula">N</b>
                                    <b key="formulaRule">S</b>
                                    <s key="formula">iferror({174}/{143},0)</s>
                                  </be>
                                  <be key="dictionaryHeader" refId="623" clsId="MultiDesc">
                                    <a key="desc" refId="624" ln="4" eid="SYS_STR">
                                      <s>GP excl. OOI in % Overruled</s>
                                      <s/>
                                      <s/>
                                      <s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2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183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26" keid="SYS_STR" veid="EFReportingNodeType">
                                    <key>
                                      <s>184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185</cust>
                                <s key="cod">PH</s>
                                <s key="desc"/>
                                <i key="index">0</i>
                                <ref key="parent" refId="611"/>
                              </be>
                            </l>
                            <ref key="parent" refId="604"/>
                          </be>
                        </l>
                        <ref key="parent" refId="14"/>
                      </be>
                      <be refId="627" clsId="FilterNode">
                        <l key="dimensionOids" refId="628" ln="0" eid="DimensionOid"/>
                        <l key="AdHocParamDimensionOids" refId="629" ln="0" eid="DimensionOid"/>
                        <be key="data" refId="630" clsId="FilterNodeData">
                          <ref key="filterNode" refId="627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631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632" keid="SYS_STR" veid="EFReportingNodeType">
                            <key>
                              <s>2</s>
                            </key>
                            <val>
                              <ref refId="32"/>
                            </val>
                          </m>
                        </be>
                        <cust key="id" clsId="FilterOid">193</cust>
                        <s key="cod">PH</s>
                        <s key="desc"/>
                        <i key="index">0</i>
                        <l key="children" refId="633" ln="1" eid="Framework.com.tagetik.trees.INode,framework">
                          <be refId="634" clsId="FilterNode">
                            <l key="dimensionOids" refId="635" ln="0" eid="DimensionOid"/>
                            <l key="AdHocParamDimensionOids" refId="636" ln="0" eid="DimensionOid"/>
                            <be key="data" refId="637" clsId="FilterNodeData">
                              <ref key="filterNode" refId="634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638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639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275</cust>
                            <s key="cod">PH</s>
                            <s key="desc"/>
                            <i key="index">0</i>
                            <l key="children" refId="640" ln="6" eid="Framework.com.tagetik.trees.INode,framework">
                              <be refId="641" clsId="FilterNode">
                                <l key="dimensionOids" refId="642" ln="0" eid="DimensionOid"/>
                                <l key="AdHocParamDimensionOids" refId="643" ln="0" eid="DimensionOid"/>
                                <be key="data" refId="644" clsId="FilterNodeData">
                                  <ref key="filterNode" refId="641"/>
                                  <s key="dim">DEST1_LC_01</s>
                                  <i key="segmentLevel">0</i>
                                  <ref key="segment" refId="18"/>
                                  <be key="reportingFormula" refId="645" clsId="ReportingFormula">
                                    <b key="serverFormula">N</b>
                                    <b key="formulaRule">S</b>
                                    <s key="formula">iferror({176}/{285},0)</s>
                                  </be>
                                  <be key="dictionaryHeader" refId="646" clsId="MultiDesc">
                                    <a key="desc" refId="647" ln="4" eid="SYS_STR">
                                      <s>NF - New Facility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4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190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49" keid="SYS_STR" veid="EFReportingNodeType">
                                    <key>
                                      <s>193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194</cust>
                                <s key="cod">PH</s>
                                <s key="desc"/>
                                <i key="index">0</i>
                                <ref key="parent" refId="634"/>
                              </be>
                              <be refId="650" clsId="FilterNode">
                                <l key="dimensionOids" refId="651" ln="0" eid="DimensionOid"/>
                                <l key="AdHocParamDimensionOids" refId="652" ln="0" eid="DimensionOid"/>
                                <be key="data" refId="653" clsId="FilterNodeData">
                                  <ref key="filterNode" refId="650"/>
                                  <s key="dim">DEST1_LC_01</s>
                                  <i key="segmentLevel">0</i>
                                  <ref key="segment" refId="18"/>
                                  <be key="reportingFormula" refId="654" clsId="ReportingFormula">
                                    <b key="serverFormula">N</b>
                                    <b key="formulaRule">S</b>
                                    <s key="formula">iferror({180}/{286},0)</s>
                                  </be>
                                  <be key="dictionaryHeader" refId="655" clsId="MultiDesc">
                                    <a key="desc" refId="656" ln="4" eid="SYS_STR">
                                      <s>ME - Modernization &amp; Extension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57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190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58" keid="SYS_STR" veid="EFReportingNodeType">
                                    <key>
                                      <s>194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198</cust>
                                <s key="cod">PH</s>
                                <s key="desc"/>
                                <i key="index">0</i>
                                <ref key="parent" refId="634"/>
                              </be>
                              <be refId="659" clsId="FilterNode">
                                <l key="dimensionOids" refId="660" ln="0" eid="DimensionOid"/>
                                <l key="AdHocParamDimensionOids" refId="661" ln="0" eid="DimensionOid"/>
                                <be key="data" refId="662" clsId="FilterNodeData">
                                  <ref key="filterNode" refId="659"/>
                                  <s key="dim">DEST1_LC_01</s>
                                  <i key="segmentLevel">0</i>
                                  <ref key="segment" refId="18"/>
                                  <be key="reportingFormula" refId="663" clsId="ReportingFormula">
                                    <b key="serverFormula">N</b>
                                    <b key="formulaRule">S</b>
                                    <s key="formula">iferror({179}/{287},0)</s>
                                  </be>
                                  <be key="dictionaryHeader" refId="664" clsId="MultiDesc">
                                    <a key="desc" refId="665" ln="4" eid="SYS_STR">
                                      <s>OS - Operational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6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190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67" keid="SYS_STR" veid="EFReportingNodeType">
                                    <key>
                                      <s>194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197</cust>
                                <s key="cod">PH</s>
                                <s key="desc"/>
                                <i key="index">0</i>
                                <ref key="parent" refId="634"/>
                              </be>
                              <be refId="668" clsId="FilterNode">
                                <l key="dimensionOids" refId="669" ln="0" eid="DimensionOid"/>
                                <l key="AdHocParamDimensionOids" refId="670" ln="0" eid="DimensionOid"/>
                                <be key="data" refId="671" clsId="FilterNodeData">
                                  <ref key="filterNode" refId="668"/>
                                  <s key="dim">DEST1_LC_01</s>
                                  <i key="segmentLevel">0</i>
                                  <ref key="segment" refId="18"/>
                                  <be key="reportingFormula" refId="672" clsId="ReportingFormula">
                                    <b key="serverFormula">N</b>
                                    <b key="formulaRule">S</b>
                                    <s key="formula">iferror({178}/{288},0)</s>
                                  </be>
                                  <be key="dictionaryHeader" refId="673" clsId="MultiDesc">
                                    <a key="desc" refId="674" ln="4" eid="SYS_STR">
                                      <s>RS - Recurring Software as Service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7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190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76" keid="SYS_STR" veid="EFReportingNodeType">
                                    <key>
                                      <s>194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196</cust>
                                <s key="cod">PH</s>
                                <s key="desc"/>
                                <i key="index">0</i>
                                <ref key="parent" refId="634"/>
                              </be>
                              <be refId="677" clsId="FilterNode">
                                <l key="dimensionOids" refId="678" ln="0" eid="DimensionOid"/>
                                <l key="AdHocParamDimensionOids" refId="679" ln="0" eid="DimensionOid"/>
                                <be key="data" refId="680" clsId="FilterNodeData">
                                  <ref key="filterNode" refId="677"/>
                                  <s key="dim">DEST1_LC_01</s>
                                  <i key="segmentLevel">0</i>
                                  <ref key="segment" refId="18"/>
                                  <be key="reportingFormula" refId="681" clsId="ReportingFormula">
                                    <b key="serverFormula">N</b>
                                    <b key="formulaRule">S</b>
                                    <s key="formula">iferror({177}/{290},0)</s>
                                  </be>
                                  <be key="dictionaryHeader" refId="682" clsId="MultiDesc">
                                    <a key="desc" refId="683" ln="4" eid="SYS_STR">
                                      <s>RC - Recurring CP</s>
                                      <s/>
                                      <s/>
                                      <s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84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190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85" keid="SYS_STR" veid="EFReportingNodeType">
                                    <key>
                                      <s>194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195</cust>
                                <s key="cod">PH</s>
                                <s key="desc"/>
                                <i key="index">0</i>
                                <ref key="parent" refId="634"/>
                              </be>
                              <be refId="686" clsId="FilterNode">
                                <l key="dimensionOids" refId="687" ln="0" eid="DimensionOid"/>
                                <l key="AdHocParamDimensionOids" refId="688" ln="0" eid="DimensionOid"/>
                                <be key="data" refId="689" clsId="FilterNodeData">
                                  <ref key="filterNode" refId="686"/>
                                  <s key="dim">DEST1_LC_01</s>
                                  <i key="segmentLevel">0</i>
                                  <ref key="segment" refId="18"/>
                                  <be key="reportingFormula" refId="690" clsId="ReportingFormula">
                                    <b key="serverFormula">N</b>
                                    <b key="formulaRule">S</b>
                                    <s key="formula">iferror({181}/{289},0)</s>
                                  </be>
                                  <be key="dictionaryHeader" refId="691" clsId="MultiDesc">
                                    <a key="desc" refId="692" ln="4" eid="SYS_STR">
                                      <s>OL - Other Lifecycle</s>
                                      <s/>
                                      <s/>
                                      <s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693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190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694" keid="SYS_STR" veid="EFReportingNodeType">
                                    <key>
                                      <s>195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199</cust>
                                <s key="cod">PH</s>
                                <s key="desc"/>
                                <i key="index">0</i>
                                <ref key="parent" refId="634"/>
                              </be>
                            </l>
                            <ref key="parent" refId="627"/>
                          </be>
                        </l>
                        <ref key="parent" refId="14"/>
                      </be>
                      <be refId="695" clsId="FilterNode">
                        <l key="dimensionOids" refId="696" ln="1" eid="DimensionOid">
                          <cust clsId="DimensionOid">564F435F50414C-45-33333030---</cust>
                        </l>
                        <l key="AdHocParamDimensionOids" refId="697" ln="0" eid="DimensionOid"/>
                        <be key="data" refId="698" clsId="FilterNodeData">
                          <ref key="filterNode" refId="695"/>
                          <s key="dim">VOC_PAL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699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700" keid="SYS_STR" veid="EFReportingNodeType">
                            <key>
                              <s>564F435F50414C-45-33333030---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211</cust>
                        <i key="index">0</i>
                        <l key="children" refId="701" ln="1" eid="Framework.com.tagetik.trees.INode,framework">
                          <be refId="702" clsId="FilterNode">
                            <l key="dimensionOids" refId="703" ln="1" eid="DimensionOid">
                              <cust clsId="DimensionOid">4341545F24-4E-534132---</cust>
                            </l>
                            <l key="AdHocParamDimensionOids" refId="704" ln="0" eid="DimensionOid"/>
                            <be key="data" refId="705" clsId="FilterNodeData">
                              <ref key="filterNode" refId="702"/>
                              <s key="dim">CAT_$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706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707" keid="SYS_STR" veid="EFReportingNodeType">
                                <key>
                                  <s>4341545F24-4E-534132---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298</cust>
                            <i key="index">0</i>
                            <l key="children" refId="708" ln="1" eid="Framework.com.tagetik.trees.INode,framework">
                              <be refId="709" clsId="FilterNode">
                                <l key="dimensionOids" refId="710" ln="1" eid="DimensionOid">
                                  <cust clsId="DimensionOid">44455354315F4C435F3031-4E-414C4C---</cust>
                                </l>
                                <l key="AdHocParamDimensionOids" refId="711" ln="0" eid="DimensionOid"/>
                                <be key="data" refId="712" clsId="FilterNodeData">
                                  <ref key="filterNode" refId="709"/>
                                  <s key="dim">DEST1_LC_01</s>
                                  <i key="segmentLevel">0</i>
                                  <ref key="segment" refId="18"/>
                                  <be key="dictionaryHeader" refId="713" clsId="MultiDesc">
                                    <a key="desc" refId="714" ln="4" eid="SYS_STR">
                                      <s>Other operating Income</s>
                                      <nl/>
                                      <nl/>
                                      <nl/>
                                    </a>
                                  </be>
                                  <b key="placeHolder">N</b>
                                  <ref key="weight" refId="19"/>
                                  <be key="textMatchingCondition" refId="71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221</cust>
                                <i key="index">0</i>
                                <ref key="parent" refId="702"/>
                              </be>
                            </l>
                            <ref key="parent" refId="695"/>
                          </be>
                        </l>
                        <ref key="parent" refId="14"/>
                      </be>
                      <be refId="716" clsId="FilterNode">
                        <l key="dimensionOids" refId="717" ln="0" eid="DimensionOid"/>
                        <l key="AdHocParamDimensionOids" refId="718" ln="0" eid="DimensionOid"/>
                        <be key="data" refId="719" clsId="FilterNodeData">
                          <ref key="filterNode" refId="716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720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721" keid="SYS_STR" veid="EFReportingNodeType">
                            <key>
                              <s>1</s>
                            </key>
                            <val>
                              <ref refId="32"/>
                            </val>
                          </m>
                        </be>
                        <cust key="id" clsId="FilterOid">202</cust>
                        <s key="cod">PH</s>
                        <s key="desc"/>
                        <i key="index">0</i>
                        <l key="children" refId="722" ln="1" eid="Framework.com.tagetik.trees.INode,framework">
                          <be refId="723" clsId="FilterNode">
                            <l key="dimensionOids" refId="724" ln="0" eid="DimensionOid"/>
                            <l key="AdHocParamDimensionOids" refId="725" ln="0" eid="DimensionOid"/>
                            <be key="data" refId="726" clsId="FilterNodeData">
                              <ref key="filterNode" refId="723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727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728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278</cust>
                            <s key="cod">PH</s>
                            <s key="desc"/>
                            <i key="index">0</i>
                            <l key="children" refId="729" ln="1" eid="Framework.com.tagetik.trees.INode,framework">
                              <be refId="730" clsId="FilterNode">
                                <l key="dimensionOids" refId="731" ln="0" eid="DimensionOid"/>
                                <l key="AdHocParamDimensionOids" refId="732" ln="0" eid="DimensionOid"/>
                                <be key="data" refId="733" clsId="FilterNodeData">
                                  <ref key="filterNode" refId="730"/>
                                  <s key="dim">DEST1_LC_01</s>
                                  <i key="segmentLevel">0</i>
                                  <ref key="segment" refId="18"/>
                                  <be key="reportingFormula" refId="734" clsId="ReportingFormula">
                                    <b key="serverFormula">N</b>
                                    <b key="formulaRule">S</b>
                                    <s key="formula">sum({174},{221})</s>
                                  </be>
                                  <be key="dictionaryHeader" refId="735" clsId="MultiDesc">
                                    <a key="desc" refId="736" ln="4" eid="SYS_STR">
                                      <s>Gross Profit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737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179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738" keid="SYS_STR" veid="EFReportingNodeType">
                                    <key>
                                      <s>202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203</cust>
                                <s key="cod">PH</s>
                                <s key="desc"/>
                                <i key="index">0</i>
                                <ref key="parent" refId="723"/>
                              </be>
                            </l>
                            <ref key="parent" refId="716"/>
                          </be>
                        </l>
                        <ref key="parent" refId="14"/>
                      </be>
                      <be refId="739" clsId="FilterNode">
                        <l key="dimensionOids" refId="740" ln="0" eid="DimensionOid"/>
                        <l key="AdHocParamDimensionOids" refId="741" ln="0" eid="DimensionOid"/>
                        <be key="data" refId="742" clsId="FilterNodeData">
                          <ref key="filterNode" refId="739"/>
                          <s key="dim">VOC_PAL</s>
                          <i key="segmentLevel">0</i>
                          <ref key="segment" refId="18"/>
                          <b key="placeHolder">S</b>
                          <ref key="weight" refId="19"/>
                          <be key="textMatchingCondition" refId="743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744" keid="SYS_STR" veid="EFReportingNodeType">
                            <key>
                              <s>1</s>
                            </key>
                            <val>
                              <ref refId="32"/>
                            </val>
                          </m>
                        </be>
                        <cust key="id" clsId="FilterOid">218</cust>
                        <s key="cod">PH</s>
                        <s key="desc"/>
                        <i key="index">0</i>
                        <l key="children" refId="745" ln="1" eid="Framework.com.tagetik.trees.INode,framework">
                          <be refId="746" clsId="FilterNode">
                            <l key="dimensionOids" refId="747" ln="0" eid="DimensionOid"/>
                            <l key="AdHocParamDimensionOids" refId="748" ln="0" eid="DimensionOid"/>
                            <be key="data" refId="749" clsId="FilterNodeData">
                              <ref key="filterNode" refId="746"/>
                              <s key="dim">CAT_$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750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751" keid="SYS_STR" veid="EFReportingNodeType">
                                <key>
                                  <s>4341545F24-45-53415F3032-534132--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279</cust>
                            <s key="cod">PH</s>
                            <s key="desc"/>
                            <i key="index">0</i>
                            <l key="children" refId="752" ln="1" eid="Framework.com.tagetik.trees.INode,framework">
                              <be refId="753" clsId="FilterNode">
                                <l key="dimensionOids" refId="754" ln="0" eid="DimensionOid"/>
                                <l key="AdHocParamDimensionOids" refId="755" ln="0" eid="DimensionOid"/>
                                <be key="data" refId="756" clsId="FilterNodeData">
                                  <ref key="filterNode" refId="753"/>
                                  <s key="dim">DEST1_LC_01</s>
                                  <i key="segmentLevel">0</i>
                                  <ref key="segment" refId="18"/>
                                  <be key="reportingFormula" refId="757" clsId="ReportingFormula">
                                    <b key="serverFormula">N</b>
                                    <b key="formulaRule">S</b>
                                    <s key="formula">iferror({203}/{143},0)</s>
                                  </be>
                                  <be key="dictionaryHeader" refId="758" clsId="MultiDesc">
                                    <a key="desc" refId="759" ln="4" eid="SYS_STR">
                                      <s>GP in %</s>
                                      <nl/>
                                      <nl/>
                                      <nl/>
                                    </a>
                                  </be>
                                  <b key="placeHolder">S</b>
                                  <ref key="weight" refId="19"/>
                                  <be key="textMatchingCondition" refId="760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180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761" keid="SYS_STR" veid="EFReportingNodeType">
                                    <key>
                                      <s>218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219</cust>
                                <s key="cod">PH</s>
                                <s key="desc"/>
                                <i key="index">0</i>
                                <ref key="parent" refId="746"/>
                              </be>
                            </l>
                            <ref key="parent" refId="739"/>
                          </be>
                        </l>
                        <ref key="parent" refId="14"/>
                      </be>
                    </l>
                  </be>
                  <be key="columns" refId="762" clsId="FilterNode">
                    <l key="dimensionOids" refId="763" ln="0" eid="DimensionOid"/>
                    <l key="AdHocParamDimensionOids" refId="764" ln="0" eid="DimensionOid"/>
                    <be key="data" refId="765" clsId="FilterNodeData">
                      <ref key="filterNode" refId="762"/>
                      <i key="segmentLevel">0</i>
                      <ref key="segment" refId="18"/>
                      <b key="placeHolder">N</b>
                      <ref key="weight" refId="19"/>
                      <be key="textMatchingCondition" refId="766" clsId="TextMatchingCondition">
                        <ref key="op" refId="21"/>
                        <s key="val"/>
                      </be>
                      <ref key="change" refId="22"/>
                      <ref key="dataType" refId="23"/>
                      <b key="prevailingDataType">N</b>
                      <ref key="editability" refId="24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Columns</s>
                    <i key="index">0</i>
                    <l key="children" refId="767" ln="8" eid="Framework.com.tagetik.trees.INode,framework">
                      <be refId="768" clsId="FilterNode">
                        <l key="dimensionOids" refId="769" ln="1" eid="DimensionOid">
                          <cust clsId="DimensionOid">4C554E504552-45-4C554E5F33---</cust>
                        </l>
                        <l key="AdHocParamDimensionOids" refId="770" ln="0" eid="DimensionOid"/>
                        <be key="data" refId="771" clsId="FilterNodeData">
                          <ref key="filterNode" refId="768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772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773" keid="SYS_STR" veid="EFReportingNodeType">
                            <key>
                              <s>4C554E504552-45-4C554E5F33---</s>
                            </key>
                            <val>
                              <ref refId="32"/>
                            </val>
                          </m>
                        </be>
                        <cust key="id" clsId="FilterOid">130</cust>
                        <i key="index">0</i>
                        <l key="children" refId="774" ln="2" eid="Framework.com.tagetik.trees.INode,framework">
                          <be refId="775" clsId="FilterNode">
                            <l key="dimensionOids" refId="776" ln="0" eid="DimensionOid"/>
                            <l key="AdHocParamDimensionOids" refId="777" ln="0" eid="DimensionOid"/>
                            <be key="data" refId="778" clsId="FilterNodeData">
                              <ref key="filterNode" refId="775"/>
                              <s key="dim">SCE_$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779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780" keid="SYS_STR" veid="EFReportingNodeType">
                                <key>
                                  <s>1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122</cust>
                            <s key="cod">PH</s>
                            <s key="desc"/>
                            <i key="index">0</i>
                            <l key="children" refId="781" ln="1" eid="Framework.com.tagetik.trees.INode,framework">
                              <be refId="782" clsId="FilterNode">
                                <l key="dimensionOids" refId="783" ln="0" eid="DimensionOid"/>
                                <l key="AdHocParamDimensionOids" refId="784" ln="0" eid="DimensionOid"/>
                                <be key="data" refId="785" clsId="FilterNodeData">
                                  <ref key="filterNode" refId="782"/>
                                  <s key="dim">PER</s>
                                  <i key="segmentLevel">0</i>
                                  <ref key="segment" refId="18"/>
                                  <be key="reportingFormula" refId="786" clsId="ReportingFormula">
                                    <b key="serverFormula">N</b>
                                    <b key="formulaRule">S</b>
                                    <s key="formula">1</s>
                                  </be>
                                  <b key="placeHolder">S</b>
                                  <ref key="weight" refId="19"/>
                                  <be key="textMatchingCondition" refId="787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177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788" keid="SYS_STR" veid="EFReportingNodeType">
                                    <key>
                                      <s>122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123</cust>
                                <s key="cod">PH</s>
                                <s key="desc"/>
                                <i key="index">0</i>
                                <ref key="parent" refId="775"/>
                              </be>
                            </l>
                            <ref key="parent" refId="768"/>
                          </be>
                          <be refId="789" clsId="FilterNode">
                            <l key="dimensionOids" refId="790" ln="1" eid="DimensionOid">
                              <cust clsId="DimensionOid">5343455F24-45-46545F5343455F245F5945415231--50-</cust>
                            </l>
                            <l key="AdHocParamDimensionOids" refId="791" ln="0" eid="DimensionOid"/>
                            <be key="data" refId="792" clsId="FilterNodeData">
                              <ref key="filterNode" refId="789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dinamico" refId="793" clsId="ReportingDinamicita">
                                <e key="dynamicType" refId="794" id="DynamicEnum">GEN</e>
                                <s key="advancedScript">
                                  TGKML 1.0
                                  <ch cod="0a"/>
                                  <ch cod="0a"/>
                                  result := if mid($Scenario.code,7,1) == "4" then @FT_SCE_$_YEAR1 else @FT_SCE_$_YEAR1.ref3  end;
                                  <ch cod="0a"/>
                                  <ch cod="0a"/>
                                  <ch cod="0a"/>
                                </s>
                                <b key="withSubtotal">N</b>
                                <b key="isPartecipatedCompany">N</b>
                                <b key="withSubtotalUntilStartingNode">N</b>
                                <b key="detailSubtotal">S</b>
                                <e key="pruning" refId="795" id="PruningEnum">N</e>
                                <i key="addictionalRowsToOpen">100</i>
                                <b key="allowOpenNewElements">N</b>
                              </be>
                              <be key="textMatchingCondition" refId="796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s key="adHocStyleSheetId">198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797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349</cust>
                            <i key="index">0</i>
                            <l key="children" refId="798" ln="4" eid="Framework.com.tagetik.trees.INode,framework">
                              <be refId="799" clsId="FilterNode">
                                <l key="dimensionOids" refId="800" ln="1" eid="DimensionOid">
                                  <cust clsId="DimensionOid">504552-45-3033---</cust>
                                </l>
                                <l key="AdHocParamDimensionOids" refId="801" ln="0" eid="DimensionOid"/>
                                <be key="data" refId="802" clsId="FilterNodeData">
                                  <ref key="filterNode" refId="799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803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04" keid="SYS_STR" veid="EFReportingNodeType">
                                    <key>
                                      <s>504552-45-3033---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351</cust>
                                <i key="index">0</i>
                                <ref key="parent" refId="789"/>
                              </be>
                              <be refId="805" clsId="FilterNode">
                                <l key="dimensionOids" refId="806" ln="1" eid="DimensionOid">
                                  <cust clsId="DimensionOid">504552-45-3036---</cust>
                                </l>
                                <l key="AdHocParamDimensionOids" refId="807" ln="0" eid="DimensionOid"/>
                                <be key="data" refId="808" clsId="FilterNodeData">
                                  <ref key="filterNode" refId="805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809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10" keid="SYS_STR" veid="EFReportingNodeType">
                                    <key>
                                      <s>504552-45-3036---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352</cust>
                                <i key="index">0</i>
                                <ref key="parent" refId="789"/>
                              </be>
                              <be refId="811" clsId="FilterNode">
                                <l key="dimensionOids" refId="812" ln="1" eid="DimensionOid">
                                  <cust clsId="DimensionOid">504552-45-3039---</cust>
                                </l>
                                <l key="AdHocParamDimensionOids" refId="813" ln="0" eid="DimensionOid"/>
                                <be key="data" refId="814" clsId="FilterNodeData">
                                  <ref key="filterNode" refId="811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81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16" keid="SYS_STR" veid="EFReportingNodeType">
                                    <key>
                                      <s>504552-45-3039---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353</cust>
                                <i key="index">0</i>
                                <ref key="parent" refId="789"/>
                              </be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dinamico" refId="821" clsId="ReportingDinamicita">
                                    <ref key="dynamicType" refId="794"/>
                                    <s key="advancedScript">
                                      TGKML 1.0
                                      <ch cod="0a"/>
                                      <ch cod="0a"/>
                                      result:= This.setEditability("editable", "MID($Scenario.code,7,1) ","==", "4");
                                      <ch cod="0a"/>
                                      <ch cod="0a"/>
                                    </s>
                                    <b key="withSubtotal">N</b>
                                    <b key="isPartecipatedCompany">N</b>
                                    <b key="withSubtotalUntilStartingNode">N</b>
                                    <b key="detailSubtotal">S</b>
                                    <ref key="pruning" refId="795"/>
                                    <i key="addictionalRowsToOpen">100</i>
                                    <b key="allowOpenNewElements">N</b>
                                  </be>
                                  <be key="textMatchingCondition" refId="82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23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350</cust>
                                <i key="index">0</i>
                                <ref key="parent" refId="789"/>
                              </be>
                            </l>
                            <ref key="parent" refId="768"/>
                          </be>
                        </l>
                        <ref key="parent" refId="762"/>
                      </be>
                      <be refId="824" clsId="FilterNode">
                        <l key="dimensionOids" refId="825" ln="1" eid="DimensionOid">
                          <cust clsId="DimensionOid">4C554E504552-45-4C554E5F30---</cust>
                        </l>
                        <l key="AdHocParamDimensionOids" refId="826" ln="0" eid="DimensionOid"/>
                        <be key="data" refId="827" clsId="FilterNodeData">
                          <ref key="filterNode" refId="824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828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829" keid="SYS_STR" veid="EFReportingNodeType"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131</cust>
                        <i key="index">0</i>
                        <l key="children" refId="830" ln="1" eid="Framework.com.tagetik.trees.INode,framework">
                          <be refId="831" clsId="FilterNode">
                            <l key="dimensionOids" refId="832" ln="1" eid="DimensionOid">
                              <cust clsId="DimensionOid">5343455F24-45-46545F5343455F245F5945415231--50-</cust>
                            </l>
                            <l key="AdHocParamDimensionOids" refId="833" ln="0" eid="DimensionOid"/>
                            <be key="data" refId="834" clsId="FilterNodeData">
                              <ref key="filterNode" refId="831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dinamico" refId="835" clsId="ReportingDinamicita">
                                <ref key="dynamicType" refId="794"/>
                                <s key="advancedScript">
                                  TGKML 1.0
                                  <ch cod="0a"/>
                                  <ch cod="0a"/>
                                  result := if mid($Scenario.code,7,1) == "4" then @FT_SCE_$_YEAR1 else @FT_SCE_$_YEAR1.ref3  end;
                                  <ch cod="0a"/>
                                  <ch cod="0a"/>
                                </s>
                                <b key="withSubtotal">N</b>
                                <b key="isPartecipatedCompany">N</b>
                                <b key="withSubtotalUntilStartingNode">N</b>
                                <b key="detailSubtotal">S</b>
                                <ref key="pruning" refId="795"/>
                                <i key="addictionalRowsToOpen">100</i>
                                <b key="allowOpenNewElements">N</b>
                              </be>
                              <be key="textMatchingCondition" refId="836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83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196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838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134</cust>
                            <i key="index">0</i>
                            <l key="children" refId="839" ln="1" eid="Framework.com.tagetik.trees.INode,framework">
                              <be refId="840" clsId="FilterNode">
                                <l key="dimensionOids" refId="841" ln="1" eid="DimensionOid">
                                  <cust clsId="DimensionOid">504552-45-3132---</cust>
                                </l>
                                <l key="AdHocParamDimensionOids" refId="842" ln="0" eid="DimensionOid"/>
                                <be key="data" refId="843" clsId="FilterNodeData">
                                  <ref key="filterNode" refId="840"/>
                                  <s key="dim">PER</s>
                                  <i key="segmentLevel">0</i>
                                  <ref key="segment" refId="18"/>
                                  <be key="reportingFormula" refId="844" clsId="ReportingFormula">
                                    <b key="serverFormula">N</b>
                                    <b key="formulaRule">S</b>
                                    <s key="formula">
                                      iferror(if(indirect(address(row(),column()-7))="SA_0001",indirect(address(row()-7, column()))/indirect(address(row()-35, column())),sum({351}:{350})),0)
                                      <ch cod="0a"/>
                                    </s>
                                  </be>
                                  <b key="placeHolder">N</b>
                                  <ref key="weight" refId="19"/>
                                  <be key="textMatchingCondition" refId="84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46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138</cust>
                                <i key="index">0</i>
                                <ref key="parent" refId="831"/>
                              </be>
                            </l>
                            <ref key="parent" refId="824"/>
                          </be>
                        </l>
                        <ref key="parent" refId="762"/>
                      </be>
                      <be refId="847" clsId="FilterNode">
                        <l key="dimensionOids" refId="848" ln="1" eid="DimensionOid">
                          <cust clsId="DimensionOid">4C554E504552-45-4C554E5F33---</cust>
                        </l>
                        <l key="AdHocParamDimensionOids" refId="849" ln="0" eid="DimensionOid"/>
                        <be key="data" refId="850" clsId="FilterNodeData">
                          <ref key="filterNode" refId="847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851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852" keid="SYS_STR" veid="EFReportingNodeType">
                            <key>
                              <s>4C554E504552-45-4C554E5F33---</s>
                            </key>
                            <val>
                              <ref refId="32"/>
                            </val>
                          </m>
                        </be>
                        <cust key="id" clsId="FilterOid">212</cust>
                        <i key="index">0</i>
                        <l key="children" refId="853" ln="2" eid="Framework.com.tagetik.trees.INode,framework">
                          <be refId="854" clsId="FilterNode">
                            <l key="dimensionOids" refId="855" ln="0" eid="DimensionOid"/>
                            <l key="AdHocParamDimensionOids" refId="856" ln="0" eid="DimensionOid"/>
                            <be key="data" refId="857" clsId="FilterNodeData">
                              <ref key="filterNode" refId="854"/>
                              <s key="dim">SCE_$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858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859" keid="SYS_STR" veid="EFReportingNodeType">
                                <key>
                                  <s>73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226</cust>
                            <s key="cod">PH</s>
                            <s key="desc"/>
                            <i key="index">0</i>
                            <l key="children" refId="860" ln="1" eid="Framework.com.tagetik.trees.INode,framework">
                              <be refId="861" clsId="FilterNode">
                                <l key="dimensionOids" refId="862" ln="0" eid="DimensionOid"/>
                                <l key="AdHocParamDimensionOids" refId="863" ln="0" eid="DimensionOid"/>
                                <be key="data" refId="864" clsId="FilterNodeData">
                                  <ref key="filterNode" refId="861"/>
                                  <s key="dim">PER</s>
                                  <i key="segmentLevel">0</i>
                                  <ref key="segment" refId="18"/>
                                  <be key="reportingFormula" refId="865" clsId="ReportingFormula">
                                    <b key="serverFormula">N</b>
                                    <b key="formulaRule">S</b>
                                    <s key="formula">1</s>
                                  </be>
                                  <b key="placeHolder">S</b>
                                  <ref key="weight" refId="19"/>
                                  <be key="textMatchingCondition" refId="86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177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67" keid="SYS_STR" veid="EFReportingNodeType">
                                    <key>
                                      <s>74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227</cust>
                                <s key="cod">PH</s>
                                <s key="desc"/>
                                <i key="index">0</i>
                                <ref key="parent" refId="854"/>
                              </be>
                            </l>
                            <ref key="parent" refId="847"/>
                          </be>
                          <be refId="868" clsId="FilterNode">
                            <l key="dimensionOids" refId="869" ln="1" eid="DimensionOid">
                              <cust clsId="DimensionOid">5343455F24-45-46545F5343455F245F5945415231--50-</cust>
                            </l>
                            <l key="AdHocParamDimensionOids" refId="870" ln="0" eid="DimensionOid"/>
                            <be key="data" refId="871" clsId="FilterNodeData">
                              <ref key="filterNode" refId="868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dinamico" refId="872" clsId="ReportingDinamicita">
                                <ref key="dynamicType" refId="794"/>
                                <s key="advancedScript">
                                  TGKML 1.0
                                  <ch cod="0a"/>
                                  <ch cod="0a"/>
                                  result := if mid($Scenario.code,7,1) == "4" then @FT_SCE_$_YEAR1.next else @FT_SCE_$_YEAR1 end;
                                  <ch cod="0a"/>
                                </s>
                                <b key="withSubtotal">N</b>
                                <b key="isPartecipatedCompany">N</b>
                                <b key="withSubtotalUntilStartingNode">N</b>
                                <b key="detailSubtotal">S</b>
                                <ref key="pruning" refId="795"/>
                                <i key="addictionalRowsToOpen">100</i>
                                <b key="allowOpenNewElements">N</b>
                              </be>
                              <be key="textMatchingCondition" refId="873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87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196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875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228</cust>
                            <i key="index">0</i>
                            <l key="children" refId="876" ln="4" eid="Framework.com.tagetik.trees.INode,framework">
                              <be refId="877" clsId="FilterNode">
                                <l key="dimensionOids" refId="878" ln="1" eid="DimensionOid">
                                  <cust clsId="DimensionOid">504552-45-3033---</cust>
                                </l>
                                <l key="AdHocParamDimensionOids" refId="879" ln="0" eid="DimensionOid"/>
                                <be key="data" refId="880" clsId="FilterNodeData">
                                  <ref key="filterNode" refId="877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dinamico" refId="881" clsId="ReportingDinamicita">
                                    <ref key="dynamicType" refId="794"/>
                                    <s key="advancedScript">
                                      TGKML 1.0
                                      <ch cod="0a"/>
                                      <ch cod="0a"/>
                                      edit:= this.setEditability("editable", "MID($Scenario.code,7,1) ","&lt;&gt;", "2");
                                      <ch cod="0a"/>
                                      <ch cod="0a"/>
                                      edit:= this.setEditability("editable", "MID($Scenario.code,7,1) ","&lt;&gt;", "3");
                                      <ch cod="0a"/>
                                      <ch cod="0a"/>
                                      result :=  edit;
                                    </s>
                                    <b key="withSubtotal">N</b>
                                    <b key="isPartecipatedCompany">N</b>
                                    <b key="withSubtotalUntilStartingNode">N</b>
                                    <b key="detailSubtotal">S</b>
                                    <ref key="pruning" refId="795"/>
                                    <i key="addictionalRowsToOpen">100</i>
                                    <b key="allowOpenNewElements">N</b>
                                  </be>
                                  <be key="textMatchingCondition" refId="88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83" keid="SYS_STR" veid="EFReportingNodeType">
                                    <key>
                                      <s>504552-45-3033---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229</cust>
                                <i key="index">0</i>
                                <ref key="parent" refId="868"/>
                              </be>
                              <be refId="884" clsId="FilterNode">
                                <l key="dimensionOids" refId="885" ln="1" eid="DimensionOid">
                                  <cust clsId="DimensionOid">504552-45-3036---</cust>
                                </l>
                                <l key="AdHocParamDimensionOids" refId="886" ln="0" eid="DimensionOid"/>
                                <be key="data" refId="887" clsId="FilterNodeData">
                                  <ref key="filterNode" refId="884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dinamico" refId="888" clsId="ReportingDinamicita">
                                    <ref key="dynamicType" refId="794"/>
                                    <s key="advancedScript">
                                      TGKML 1.0
                                      <ch cod="0a"/>
                                      <ch cod="0a"/>
                                      <ch cod="0a"/>
                                      result := This.setEditability("editable", "MID($Scenario.code,7,1) ","&lt;&gt;", "3");
                                    </s>
                                    <b key="withSubtotal">N</b>
                                    <b key="isPartecipatedCompany">N</b>
                                    <b key="withSubtotalUntilStartingNode">N</b>
                                    <b key="detailSubtotal">S</b>
                                    <ref key="pruning" refId="795"/>
                                    <i key="addictionalRowsToOpen">100</i>
                                    <b key="allowOpenNewElements">N</b>
                                  </be>
                                  <be key="textMatchingCondition" refId="889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90" keid="SYS_STR" veid="EFReportingNodeType">
                                    <key>
                                      <s>504552-45-3036---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230</cust>
                                <i key="index">0</i>
                                <ref key="parent" refId="868"/>
                              </be>
                              <be refId="891" clsId="FilterNode">
                                <l key="dimensionOids" refId="892" ln="1" eid="DimensionOid">
                                  <cust clsId="DimensionOid">504552-45-3039---</cust>
                                </l>
                                <l key="AdHocParamDimensionOids" refId="893" ln="0" eid="DimensionOid"/>
                                <be key="data" refId="894" clsId="FilterNodeData">
                                  <ref key="filterNode" refId="891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89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e key="editability" refId="896" id="EditableEnum">S</e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897" keid="SYS_STR" veid="EFReportingNodeType">
                                    <key>
                                      <s>504552-45-3039---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231</cust>
                                <i key="index">0</i>
                                <ref key="parent" refId="868"/>
                              </be>
                              <be refId="898" clsId="FilterNode">
                                <l key="dimensionOids" refId="899" ln="1" eid="DimensionOid">
                                  <cust clsId="DimensionOid">504552-45-3132---</cust>
                                </l>
                                <l key="AdHocParamDimensionOids" refId="900" ln="0" eid="DimensionOid"/>
                                <be key="data" refId="901" clsId="FilterNodeData">
                                  <ref key="filterNode" refId="898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90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896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03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232</cust>
                                <i key="index">0</i>
                                <ref key="parent" refId="868"/>
                              </be>
                            </l>
                            <ref key="parent" refId="847"/>
                          </be>
                        </l>
                        <ref key="parent" refId="762"/>
                      </be>
                      <be refId="904" clsId="FilterNode">
                        <l key="dimensionOids" refId="905" ln="1" eid="DimensionOid">
                          <cust clsId="DimensionOid">4C554E504552-45-4C554E5F30---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908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909" keid="SYS_STR" veid="EFReportingNodeType"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327</cust>
                        <i key="index">0</i>
                        <l key="children" refId="910" ln="1" eid="Framework.com.tagetik.trees.INode,framework">
                          <be refId="911" clsId="FilterNode">
                            <l key="dimensionOids" refId="912" ln="1" eid="DimensionOid">
                              <cust clsId="DimensionOid">5343455F24-45-46545F5343455F245F5945415231--50-</cust>
                            </l>
                            <l key="AdHocParamDimensionOids" refId="913" ln="0" eid="DimensionOid"/>
                            <be key="data" refId="914" clsId="FilterNodeData">
                              <ref key="filterNode" refId="911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dinamico" refId="915" clsId="ReportingDinamicita">
                                <ref key="dynamicType" refId="794"/>
                                <s key="advancedScript">
                                  TGKML 1.0
                                  <ch cod="0a"/>
                                  <ch cod="0a"/>
                                  result := if mid($Scenario.code,7,1) == "4" then @FT_SCE_$_YEAR1.next else @FT_SCE_$_YEAR1 end;
                                  <ch cod="0a"/>
                                  <ch cod="0a"/>
                                  <ch cod="0a"/>
                                </s>
                                <b key="withSubtotal">N</b>
                                <b key="isPartecipatedCompany">N</b>
                                <b key="withSubtotalUntilStartingNode">N</b>
                                <b key="detailSubtotal">S</b>
                                <ref key="pruning" refId="795"/>
                                <i key="addictionalRowsToOpen">100</i>
                                <b key="allowOpenNewElements">N</b>
                              </be>
                              <be key="textMatchingCondition" refId="916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91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196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918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330</cust>
                            <i key="index">0</i>
                            <l key="children" refId="919" ln="1" eid="Framework.com.tagetik.trees.INode,framework">
                              <be refId="920" clsId="FilterNode">
                                <l key="dimensionOids" refId="921" ln="1" eid="DimensionOid">
                                  <cust clsId="DimensionOid">504552-45-3132---</cust>
                                </l>
                                <l key="AdHocParamDimensionOids" refId="922" ln="0" eid="DimensionOid"/>
                                <be key="data" refId="923" clsId="FilterNodeData">
                                  <ref key="filterNode" refId="920"/>
                                  <s key="dim">PER</s>
                                  <i key="segmentLevel">0</i>
                                  <ref key="segment" refId="18"/>
                                  <be key="reportingFormula" refId="924" clsId="ReportingFormula">
                                    <b key="serverFormula">N</b>
                                    <b key="formulaRule">S</b>
                                    <s key="formula">iferror(if(indirect(address(row(),column()-13))="SA_0001",indirect(address(row()-7, column()))/indirect(address(row()-35, column())),sum({229}:{232})),0)</s>
                                  </be>
                                  <b key="placeHolder">N</b>
                                  <ref key="weight" refId="19"/>
                                  <be key="textMatchingCondition" refId="92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26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334</cust>
                                <i key="index">0</i>
                                <ref key="parent" refId="911"/>
                              </be>
                            </l>
                            <ref key="parent" refId="904"/>
                          </be>
                        </l>
                        <ref key="parent" refId="762"/>
                      </be>
                      <be refId="927" clsId="FilterNode">
                        <l key="dimensionOids" refId="928" ln="1" eid="DimensionOid">
                          <cust clsId="DimensionOid">4C554E504552-45-4C554E5F33---</cust>
                        </l>
                        <l key="AdHocParamDimensionOids" refId="929" ln="0" eid="DimensionOid"/>
                        <be key="data" refId="930" clsId="FilterNodeData">
                          <ref key="filterNode" refId="927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931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932" keid="SYS_STR" veid="EFReportingNodeType">
                            <key>
                              <s>4C554E504552-45-4C554E5F33---</s>
                            </key>
                            <val>
                              <ref refId="32"/>
                            </val>
                          </m>
                        </be>
                        <cust key="id" clsId="FilterOid">250</cust>
                        <i key="index">0</i>
                        <l key="children" refId="933" ln="2" eid="Framework.com.tagetik.trees.INode,framework">
                          <be refId="934" clsId="FilterNode">
                            <l key="dimensionOids" refId="935" ln="0" eid="DimensionOid"/>
                            <l key="AdHocParamDimensionOids" refId="936" ln="0" eid="DimensionOid"/>
                            <be key="data" refId="937" clsId="FilterNodeData">
                              <ref key="filterNode" refId="934"/>
                              <s key="dim">SCE_$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938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939" keid="SYS_STR" veid="EFReportingNodeType">
                                <key>
                                  <s>76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272</cust>
                            <s key="cod">PH</s>
                            <s key="desc"/>
                            <i key="index">0</i>
                            <l key="children" refId="940" ln="1" eid="Framework.com.tagetik.trees.INode,framework">
                              <be refId="941" clsId="FilterNode">
                                <l key="dimensionOids" refId="942" ln="0" eid="DimensionOid"/>
                                <l key="AdHocParamDimensionOids" refId="943" ln="0" eid="DimensionOid"/>
                                <be key="data" refId="944" clsId="FilterNodeData">
                                  <ref key="filterNode" refId="941"/>
                                  <s key="dim">PER</s>
                                  <i key="segmentLevel">0</i>
                                  <ref key="segment" refId="18"/>
                                  <be key="reportingFormula" refId="945" clsId="ReportingFormula">
                                    <b key="serverFormula">N</b>
                                    <b key="formulaRule">S</b>
                                    <s key="formula">1</s>
                                  </be>
                                  <b key="placeHolder">S</b>
                                  <ref key="weight" refId="19"/>
                                  <be key="textMatchingCondition" refId="94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177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47" keid="SYS_STR" veid="EFReportingNodeType">
                                    <key>
                                      <s>77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273</cust>
                                <s key="cod">PH</s>
                                <s key="desc"/>
                                <i key="index">0</i>
                                <ref key="parent" refId="934"/>
                              </be>
                            </l>
                            <ref key="parent" refId="927"/>
                          </be>
                          <be refId="948" clsId="FilterNode">
                            <l key="dimensionOids" refId="949" ln="1" eid="DimensionOid">
                              <cust clsId="DimensionOid">5343455F24-45-46545F5343455F245F5945415231--50-</cust>
                            </l>
                            <l key="AdHocParamDimensionOids" refId="950" ln="0" eid="DimensionOid"/>
                            <be key="data" refId="951" clsId="FilterNodeData">
                              <ref key="filterNode" refId="948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dinamico" refId="952" clsId="ReportingDinamicita">
                                <ref key="dynamicType" refId="794"/>
                                <s key="advancedScript">
                                  TGKML 1.0
                                  <ch cod="0a"/>
                                  <ch cod="0a"/>
                                  result := if mid($Scenario.code,7,1) == "4" then @FT_SCE_$_YEAR1.next.next else @FT_SCE_$_YEAR1.next end;
                                </s>
                                <b key="withSubtotal">N</b>
                                <b key="isPartecipatedCompany">N</b>
                                <b key="withSubtotalUntilStartingNode">N</b>
                                <b key="detailSubtotal">S</b>
                                <ref key="pruning" refId="795"/>
                                <i key="addictionalRowsToOpen">100</i>
                                <b key="allowOpenNewElements">N</b>
                              </be>
                              <be key="textMatchingCondition" refId="953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954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196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955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274</cust>
                            <i key="index">0</i>
                            <l key="children" refId="956" ln="4" eid="Framework.com.tagetik.trees.INode,framework">
                              <be refId="957" clsId="FilterNode">
                                <l key="dimensionOids" refId="958" ln="1" eid="DimensionOid">
                                  <cust clsId="DimensionOid">504552-45-3033---</cust>
                                </l>
                                <l key="AdHocParamDimensionOids" refId="959" ln="0" eid="DimensionOid"/>
                                <be key="data" refId="960" clsId="FilterNodeData">
                                  <ref key="filterNode" refId="957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96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896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62" keid="SYS_STR" veid="EFReportingNodeType">
                                    <key>
                                      <s>504552-45-3033---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275</cust>
                                <i key="index">0</i>
                                <ref key="parent" refId="948"/>
                              </be>
                              <be refId="963" clsId="FilterNode">
                                <l key="dimensionOids" refId="964" ln="1" eid="DimensionOid">
                                  <cust clsId="DimensionOid">504552-45-3036---</cust>
                                </l>
                                <l key="AdHocParamDimensionOids" refId="965" ln="0" eid="DimensionOid"/>
                                <be key="data" refId="966" clsId="FilterNodeData">
                                  <ref key="filterNode" refId="963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dinamico" refId="967" clsId="ReportingDinamicita">
                                    <ref key="dynamicType" refId="794"/>
                                    <s key="advancedScript">
                                      TGKML 1.0
                                      <ch cod="0a"/>
                                      <ch cod="0a"/>
                                      result := This.setEditability("editable", "MID($Scenario.code,7,1) ","&lt;&gt;", "4");
                                    </s>
                                    <b key="withSubtotal">N</b>
                                    <b key="isPartecipatedCompany">N</b>
                                    <b key="withSubtotalUntilStartingNode">N</b>
                                    <b key="detailSubtotal">S</b>
                                    <ref key="pruning" refId="795"/>
                                    <i key="addictionalRowsToOpen">100</i>
                                    <b key="allowOpenNewElements">N</b>
                                  </be>
                                  <be key="textMatchingCondition" refId="968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69" keid="SYS_STR" veid="EFReportingNodeType">
                                    <key>
                                      <s>504552-45-3036---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276</cust>
                                <i key="index">0</i>
                                <ref key="parent" refId="948"/>
                              </be>
                              <be refId="970" clsId="FilterNode">
                                <l key="dimensionOids" refId="971" ln="1" eid="DimensionOid">
                                  <cust clsId="DimensionOid">504552-45-3039---</cust>
                                </l>
                                <l key="AdHocParamDimensionOids" refId="972" ln="0" eid="DimensionOid"/>
                                <be key="data" refId="973" clsId="FilterNodeData">
                                  <ref key="filterNode" refId="970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dinamico" refId="974" clsId="ReportingDinamicita">
                                    <ref key="dynamicType" refId="794"/>
                                    <s key="advancedScript">
                                      TGKML 1.0
                                      <ch cod="0a"/>
                                      <ch cod="0a"/>
                                      edit:= this.setEditability("editable", "MID($Scenario.code,7,1) ","&gt;=", "2");
                                      <ch cod="0a"/>
                                      <ch cod="0a"/>
                                      edit:= this.setEditability("editable", "MID($Scenario.code,7,1) ","&lt;=", "3");
                                      <ch cod="0a"/>
                                      <ch cod="0a"/>
                                      result :=  edit;
                                      <ch cod="0a"/>
                                    </s>
                                    <b key="withSubtotal">N</b>
                                    <b key="isPartecipatedCompany">N</b>
                                    <b key="withSubtotalUntilStartingNode">N</b>
                                    <b key="detailSubtotal">S</b>
                                    <ref key="pruning" refId="795"/>
                                    <i key="addictionalRowsToOpen">100</i>
                                    <b key="allowOpenNewElements">N</b>
                                  </be>
                                  <be key="textMatchingCondition" refId="97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76" keid="SYS_STR" veid="EFReportingNodeType">
                                    <key>
                                      <s>504552-45-3039---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277</cust>
                                <i key="index">0</i>
                                <ref key="parent" refId="948"/>
                              </be>
                              <be refId="977" clsId="FilterNode">
                                <l key="dimensionOids" refId="978" ln="1" eid="DimensionOid">
                                  <cust clsId="DimensionOid">504552-45-3132---</cust>
                                </l>
                                <l key="AdHocParamDimensionOids" refId="979" ln="0" eid="DimensionOid"/>
                                <be key="data" refId="980" clsId="FilterNodeData">
                                  <ref key="filterNode" refId="977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dinamico" refId="981" clsId="ReportingDinamicita">
                                    <ref key="dynamicType" refId="794"/>
                                    <s key="advancedScript">
                                      TGKML 1.0
                                      <ch cod="0a"/>
                                      <ch cod="0a"/>
                                      result := This.setEditability("editable", "MID($Scenario.code,7,1) ","=", "3");
                                    </s>
                                    <b key="withSubtotal">N</b>
                                    <b key="isPartecipatedCompany">N</b>
                                    <b key="withSubtotalUntilStartingNode">N</b>
                                    <b key="detailSubtotal">S</b>
                                    <ref key="pruning" refId="795"/>
                                    <i key="addictionalRowsToOpen">100</i>
                                    <b key="allowOpenNewElements">N</b>
                                  </be>
                                  <be key="textMatchingCondition" refId="982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983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278</cust>
                                <i key="index">0</i>
                                <ref key="parent" refId="948"/>
                              </be>
                            </l>
                            <ref key="parent" refId="927"/>
                          </be>
                        </l>
                        <ref key="parent" refId="762"/>
                      </be>
                      <be refId="984" clsId="FilterNode">
                        <l key="dimensionOids" refId="985" ln="1" eid="DimensionOid">
                          <cust clsId="DimensionOid">4C554E504552-45-4C554E5F30---</cust>
                        </l>
                        <l key="AdHocParamDimensionOids" refId="986" ln="0" eid="DimensionOid"/>
                        <be key="data" refId="987" clsId="FilterNodeData">
                          <ref key="filterNode" refId="984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988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989" keid="SYS_STR" veid="EFReportingNodeType"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335</cust>
                        <i key="index">0</i>
                        <l key="children" refId="990" ln="1" eid="Framework.com.tagetik.trees.INode,framework">
                          <be refId="991" clsId="FilterNode">
                            <l key="dimensionOids" refId="992" ln="1" eid="DimensionOid">
                              <cust clsId="DimensionOid">5343455F24-45-46545F5343455F245F5945415231--50-</cust>
                            </l>
                            <l key="AdHocParamDimensionOids" refId="993" ln="0" eid="DimensionOid"/>
                            <be key="data" refId="994" clsId="FilterNodeData">
                              <ref key="filterNode" refId="991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dinamico" refId="995" clsId="ReportingDinamicita">
                                <ref key="dynamicType" refId="794"/>
                                <s key="advancedScript">
                                  TGKML 1.0
                                  <ch cod="0a"/>
                                  <ch cod="0a"/>
                                  result := if mid($Scenario.code,7,1) == "4" then @FT_SCE_$_YEAR1.next.next else @FT_SCE_$_YEAR1.next end;
                                  <ch cod="0a"/>
                                  <ch cod="0a"/>
                                  <ch cod="0a"/>
                                </s>
                                <b key="withSubtotal">N</b>
                                <b key="isPartecipatedCompany">N</b>
                                <b key="withSubtotalUntilStartingNode">N</b>
                                <b key="detailSubtotal">S</b>
                                <ref key="pruning" refId="795"/>
                                <i key="addictionalRowsToOpen">100</i>
                                <b key="allowOpenNewElements">N</b>
                              </be>
                              <be key="textMatchingCondition" refId="996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997" ln="0" eid="ScenarioModifierValue"/>
                              <i key="sco">0</i>
                              <b key="applyFiltersForForcedScenarioPeriodoMap">N</b>
                              <b key="lineSplit">N</b>
                              <s key="adHocStyleSheetId">196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998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338</cust>
                            <i key="index">0</i>
                            <l key="children" refId="999" ln="1" eid="Framework.com.tagetik.trees.INode,framework">
                              <be refId="1000" clsId="FilterNode">
                                <l key="dimensionOids" refId="1001" ln="1" eid="DimensionOid">
                                  <cust clsId="DimensionOid">504552-45-3132---</cust>
                                </l>
                                <l key="AdHocParamDimensionOids" refId="1002" ln="0" eid="DimensionOid"/>
                                <be key="data" refId="1003" clsId="FilterNodeData">
                                  <ref key="filterNode" refId="1000"/>
                                  <s key="dim">PER</s>
                                  <i key="segmentLevel">0</i>
                                  <ref key="segment" refId="18"/>
                                  <be key="reportingFormula" refId="1004" clsId="ReportingFormula">
                                    <b key="serverFormula">N</b>
                                    <b key="formulaRule">S</b>
                                    <s key="formula">
                                      iferror(if(indirect(address(row(),column()-19))="SA_0001",indirect(address(row()-7, column()))/indirect(address(row()-35, column())),sum({275}:{278})),0)
                                      <ch cod="0a"/>
                                    </s>
                                  </be>
                                  <b key="placeHolder">N</b>
                                  <ref key="weight" refId="19"/>
                                  <be key="textMatchingCondition" refId="100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006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342</cust>
                                <i key="index">0</i>
                                <ref key="parent" refId="991"/>
                              </be>
                            </l>
                            <ref key="parent" refId="984"/>
                          </be>
                        </l>
                        <ref key="parent" refId="762"/>
                      </be>
                      <be refId="1007" clsId="FilterNode">
                        <l key="dimensionOids" refId="1008" ln="1" eid="DimensionOid">
                          <cust clsId="DimensionOid">4C554E504552-45-4C554E5F33---</cust>
                        </l>
                        <l key="AdHocParamDimensionOids" refId="1009" ln="0" eid="DimensionOid"/>
                        <be key="data" refId="1010" clsId="FilterNodeData">
                          <ref key="filterNode" refId="1007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1011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012" keid="SYS_STR" veid="EFReportingNodeType">
                            <key>
                              <s>4C554E504552-45-4C554E5F33---</s>
                            </key>
                            <val>
                              <ref refId="32"/>
                            </val>
                          </m>
                        </be>
                        <cust key="id" clsId="FilterOid">288</cust>
                        <i key="index">0</i>
                        <l key="children" refId="1013" ln="2" eid="Framework.com.tagetik.trees.INode,framework">
                          <be refId="1014" clsId="FilterNode">
                            <l key="dimensionOids" refId="1015" ln="0" eid="DimensionOid"/>
                            <l key="AdHocParamDimensionOids" refId="1016" ln="0" eid="DimensionOid"/>
                            <be key="data" refId="1017" clsId="FilterNodeData">
                              <ref key="filterNode" refId="1014"/>
                              <s key="dim">SCE_$</s>
                              <i key="segmentLevel">0</i>
                              <ref key="segment" refId="18"/>
                              <b key="placeHolder">S</b>
                              <ref key="weight" refId="19"/>
                              <be key="textMatchingCondition" refId="1018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019" keid="SYS_STR" veid="EFReportingNodeType">
                                <key>
                                  <s>79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318</cust>
                            <s key="cod">PH</s>
                            <s key="desc"/>
                            <i key="index">0</i>
                            <l key="children" refId="1020" ln="1" eid="Framework.com.tagetik.trees.INode,framework">
                              <be refId="1021" clsId="FilterNode">
                                <l key="dimensionOids" refId="1022" ln="0" eid="DimensionOid"/>
                                <l key="AdHocParamDimensionOids" refId="1023" ln="0" eid="DimensionOid"/>
                                <be key="data" refId="1024" clsId="FilterNodeData">
                                  <ref key="filterNode" refId="1021"/>
                                  <s key="dim">PER</s>
                                  <i key="segmentLevel">0</i>
                                  <ref key="segment" refId="18"/>
                                  <be key="reportingFormula" refId="1025" clsId="ReportingFormula">
                                    <b key="serverFormula">N</b>
                                    <b key="formulaRule">S</b>
                                    <s key="formula">1</s>
                                  </be>
                                  <b key="placeHolder">S</b>
                                  <ref key="weight" refId="19"/>
                                  <be key="textMatchingCondition" refId="1026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177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027" keid="SYS_STR" veid="EFReportingNodeType">
                                    <key>
                                      <s>80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319</cust>
                                <s key="cod">PH</s>
                                <s key="desc"/>
                                <i key="index">0</i>
                                <ref key="parent" refId="1014"/>
                              </be>
                            </l>
                            <ref key="parent" refId="1007"/>
                          </be>
                          <be refId="1028" clsId="FilterNode">
                            <l key="dimensionOids" refId="1029" ln="1" eid="DimensionOid">
                              <cust clsId="DimensionOid">5343455F24-45-46545F5343455F245F5945415231--50-</cust>
                            </l>
                            <l key="AdHocParamDimensionOids" refId="1030" ln="0" eid="DimensionOid"/>
                            <be key="data" refId="1031" clsId="FilterNodeData">
                              <ref key="filterNode" refId="1028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1032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1033" ln="1" eid="ScenarioModifierValue">
                                <e refId="1034" id="ScenarioModifierValue">RIF2</e>
                              </l>
                              <i key="sco">0</i>
                              <b key="applyFiltersForForcedScenarioPeriodoMap">N</b>
                              <b key="lineSplit">N</b>
                              <s key="adHocStyleSheetId">196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035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320</cust>
                            <i key="index">0</i>
                            <l key="children" refId="1036" ln="4" eid="Framework.com.tagetik.trees.INode,framework">
                              <be refId="1037" clsId="FilterNode">
                                <l key="dimensionOids" refId="1038" ln="1" eid="DimensionOid">
                                  <cust clsId="DimensionOid">504552-45-3033---</cust>
                                </l>
                                <l key="AdHocParamDimensionOids" refId="1039" ln="0" eid="DimensionOid"/>
                                <be key="data" refId="1040" clsId="FilterNodeData">
                                  <ref key="filterNode" refId="1037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104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042" keid="SYS_STR" veid="EFReportingNodeType">
                                    <key>
                                      <s>504552-45-3033---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321</cust>
                                <i key="index">0</i>
                                <ref key="parent" refId="1028"/>
                              </be>
                              <be refId="1043" clsId="FilterNode">
                                <l key="dimensionOids" refId="1044" ln="1" eid="DimensionOid">
                                  <cust clsId="DimensionOid">504552-45-3036---</cust>
                                </l>
                                <l key="AdHocParamDimensionOids" refId="1045" ln="0" eid="DimensionOid"/>
                                <be key="data" refId="1046" clsId="FilterNodeData">
                                  <ref key="filterNode" refId="1043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1047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048" keid="SYS_STR" veid="EFReportingNodeType">
                                    <key>
                                      <s>504552-45-3036---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322</cust>
                                <i key="index">0</i>
                                <ref key="parent" refId="1028"/>
                              </be>
                              <be refId="1049" clsId="FilterNode">
                                <l key="dimensionOids" refId="1050" ln="1" eid="DimensionOid">
                                  <cust clsId="DimensionOid">504552-45-3039---</cust>
                                </l>
                                <l key="AdHocParamDimensionOids" refId="1051" ln="0" eid="DimensionOid"/>
                                <be key="data" refId="1052" clsId="FilterNodeData">
                                  <ref key="filterNode" refId="1049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1053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054" keid="SYS_STR" veid="EFReportingNodeType">
                                    <key>
                                      <s>504552-45-3039---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323</cust>
                                <i key="index">0</i>
                                <ref key="parent" refId="1028"/>
                              </be>
                              <be refId="1055" clsId="FilterNode">
                                <l key="dimensionOids" refId="1056" ln="1" eid="DimensionOid">
                                  <cust clsId="DimensionOid">504552-45-3132---</cust>
                                </l>
                                <l key="AdHocParamDimensionOids" refId="1057" ln="0" eid="DimensionOid"/>
                                <be key="data" refId="1058" clsId="FilterNodeData">
                                  <ref key="filterNode" refId="1055"/>
                                  <s key="dim">PER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1059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060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324</cust>
                                <i key="index">0</i>
                                <ref key="parent" refId="1028"/>
                              </be>
                            </l>
                            <ref key="parent" refId="1007"/>
                          </be>
                        </l>
                        <ref key="parent" refId="762"/>
                      </be>
                      <be refId="1061" clsId="FilterNode">
                        <l key="dimensionOids" refId="1062" ln="1" eid="DimensionOid">
                          <cust clsId="DimensionOid">4C554E504552-45-4C554E5F30---</cust>
                        </l>
                        <l key="AdHocParamDimensionOids" refId="1063" ln="0" eid="DimensionOid"/>
                        <be key="data" refId="1064" clsId="FilterNodeData">
                          <ref key="filterNode" refId="1061"/>
                          <s key="dim">LUNPER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1065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  <m key="nodeTypes" refId="1066" keid="SYS_STR" veid="EFReportingNodeType">
                            <key>
                              <s>4C554E504552-45-4C554E5F30---</s>
                            </key>
                            <val>
                              <ref refId="32"/>
                            </val>
                          </m>
                        </be>
                        <cust key="id" clsId="FilterOid">343</cust>
                        <i key="index">0</i>
                        <l key="children" refId="1067" ln="1" eid="Framework.com.tagetik.trees.INode,framework">
                          <be refId="1068" clsId="FilterNode">
                            <l key="dimensionOids" refId="1069" ln="1" eid="DimensionOid">
                              <cust clsId="DimensionOid">5343455F24-45-46545F5343455F245F5945415231--50-</cust>
                            </l>
                            <l key="AdHocParamDimensionOids" refId="1070" ln="0" eid="DimensionOid"/>
                            <be key="data" refId="1071" clsId="FilterNodeData">
                              <ref key="filterNode" refId="1068"/>
                              <s key="dim">SCE_$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1072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l key="nav" refId="1073" ln="1" eid="ScenarioModifierValue">
                                <ref refId="1034"/>
                              </l>
                              <i key="sco">0</i>
                              <b key="applyFiltersForForcedScenarioPeriodoMap">N</b>
                              <b key="lineSplit">N</b>
                              <s key="adHocStyleSheetId">196</s>
                              <b key="addRCRow">N</b>
                              <b key="complementary">N</b>
                              <b key="breakLevelSubtotal">N</b>
                              <b key="alreadyDrilled">N</b>
                              <m key="nodeTypes" refId="1074" keid="SYS_STR" veid="EFReportingNodeType">
                                <key>
                                  <s>5343455F24-45-46545F5343455F245F5945415231--50-</s>
                                </key>
                                <val>
                                  <ref refId="32"/>
                                </val>
                              </m>
                            </be>
                            <cust key="id" clsId="FilterOid">347</cust>
                            <i key="index">0</i>
                            <l key="children" refId="1075" ln="1" eid="Framework.com.tagetik.trees.INode,framework">
                              <be refId="1076" clsId="FilterNode">
                                <l key="dimensionOids" refId="1077" ln="1" eid="DimensionOid">
                                  <cust clsId="DimensionOid">504552-45-3132---</cust>
                                </l>
                                <l key="AdHocParamDimensionOids" refId="1078" ln="0" eid="DimensionOid"/>
                                <be key="data" refId="1079" clsId="FilterNodeData">
                                  <ref key="filterNode" refId="1076"/>
                                  <s key="dim">PER</s>
                                  <i key="segmentLevel">0</i>
                                  <ref key="segment" refId="18"/>
                                  <be key="reportingFormula" refId="1080" clsId="ReportingFormula">
                                    <b key="serverFormula">N</b>
                                    <b key="formulaRule">S</b>
                                    <s key="formula">
                                      iferror(if(indirect(address(row(),column()-25))="SA_0001",indirect(address(row()-7, column()))/indirect(address(row()-35, column())),sum({321}:{324})),0)
                                      <ch cod="0a"/>
                                    </s>
                                  </be>
                                  <b key="placeHolder">N</b>
                                  <ref key="weight" refId="19"/>
                                  <be key="textMatchingCondition" refId="1081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382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s key="adHocStyleSheetId">197</s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  <m key="nodeTypes" refId="1082" keid="SYS_STR" veid="EFReportingNodeType">
                                    <key>
                                      <s>504552-45-3132---</s>
                                    </key>
                                    <val>
                                      <ref refId="32"/>
                                    </val>
                                  </m>
                                </be>
                                <cust key="id" clsId="FilterOid">348</cust>
                                <i key="index">0</i>
                                <ref key="parent" refId="1068"/>
                              </be>
                            </l>
                            <ref key="parent" refId="1061"/>
                          </be>
                        </l>
                        <ref key="parent" refId="762"/>
                      </be>
                    </l>
                  </be>
                  <be key="matrixFilters" refId="1083" clsId="FilterNode">
                    <l key="dimensionOids" refId="1084" ln="0" eid="DimensionOid"/>
                    <l key="AdHocParamDimensionOids" refId="1085" ln="0" eid="DimensionOid"/>
                    <be key="data" refId="1086" clsId="FilterNodeData">
                      <ref key="filterNode" refId="1083"/>
                      <i key="segmentLevel">0</i>
                      <ref key="segment" refId="18"/>
                      <b key="placeHolder">N</b>
                      <ref key="weight" refId="19"/>
                      <be key="textMatchingCondition" refId="1087" clsId="TextMatchingCondition">
                        <ref key="op" refId="21"/>
                        <s key="val"/>
                      </be>
                      <ref key="change" refId="22"/>
                      <ref key="dataType" refId="23"/>
                      <b key="prevailingDataType">N</b>
                      <ref key="editability" refId="24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b key="breakLevelSubtotal">N</b>
                      <b key="alreadyDrilled">N</b>
                    </be>
                    <cust key="id" clsId="FilterOid">1</cust>
                    <s key="cod">ROOT</s>
                    <s key="desc">Matrix</s>
                    <i key="index">0</i>
                    <l key="children" refId="1088" ln="1" eid="Framework.com.tagetik.trees.INode,framework">
                      <be refId="1089" clsId="FilterNode">
                        <l key="dimensionOids" refId="1090" ln="1" eid="DimensionOid">
                          <cust clsId="DimensionOid">544950-45-5449505F4F---</cust>
                        </l>
                        <l key="AdHocParamDimensionOids" refId="1091" ln="0" eid="DimensionOid"/>
                        <be key="data" refId="1092" clsId="FilterNodeData">
                          <ref key="filterNode" refId="1089"/>
                          <s key="dim">TIP</s>
                          <i key="segmentLevel">0</i>
                          <ref key="segment" refId="18"/>
                          <b key="placeHolder">N</b>
                          <ref key="weight" refId="19"/>
                          <be key="textMatchingCondition" refId="1093" clsId="TextMatchingCondition">
                            <ref key="op" refId="21"/>
                            <s key="val"/>
                          </be>
                          <ref key="change" refId="22"/>
                          <ref key="dataType" refId="23"/>
                          <b key="prevailingDataType">N</b>
                          <ref key="editability" refId="24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b key="breakLevelSubtotal">N</b>
                          <b key="alreadyDrilled">N</b>
                        </be>
                        <cust key="id" clsId="FilterOid">2</cust>
                        <i key="index">0</i>
                        <l key="children" refId="1094" ln="1" eid="Framework.com.tagetik.trees.INode,framework">
                          <be refId="1095" clsId="FilterNode">
                            <l key="dimensionOids" refId="1096" ln="1" eid="DimensionOid">
                              <cust clsId="DimensionOid">44455354345F3031-4E-3031---</cust>
                            </l>
                            <l key="AdHocParamDimensionOids" refId="1097" ln="0" eid="DimensionOid"/>
                            <be key="data" refId="1098" clsId="FilterNodeData">
                              <ref key="filterNode" refId="1095"/>
                              <s key="dim">DEST4_01</s>
                              <i key="segmentLevel">0</i>
                              <ref key="segment" refId="18"/>
                              <b key="placeHolder">N</b>
                              <ref key="weight" refId="19"/>
                              <be key="textMatchingCondition" refId="1099" clsId="TextMatchingCondition">
                                <ref key="op" refId="21"/>
                                <s key="val"/>
                              </be>
                              <ref key="change" refId="22"/>
                              <ref key="dataType" refId="23"/>
                              <b key="prevailingDataType">N</b>
                              <ref key="editability" refId="24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b key="breakLevelSubtotal">N</b>
                              <b key="alreadyDrilled">N</b>
                            </be>
                            <cust key="id" clsId="FilterOid">5</cust>
                            <i key="index">0</i>
                            <l key="children" refId="1100" ln="1" eid="Framework.com.tagetik.trees.INode,framework">
                              <be refId="1101" clsId="FilterNode">
                                <l key="dimensionOids" refId="1102" ln="1" eid="DimensionOid">
                                  <cust clsId="DimensionOid">4445535433-45-4E4446---</cust>
                                </l>
                                <l key="AdHocParamDimensionOids" refId="1103" ln="0" eid="DimensionOid"/>
                                <be key="data" refId="1104" clsId="FilterNodeData">
                                  <ref key="filterNode" refId="1101"/>
                                  <s key="dim">DEST3</s>
                                  <i key="segmentLevel">0</i>
                                  <ref key="segment" refId="18"/>
                                  <b key="placeHolder">N</b>
                                  <ref key="weight" refId="19"/>
                                  <be key="textMatchingCondition" refId="1105" clsId="TextMatchingCondition">
                                    <ref key="op" refId="21"/>
                                    <s key="val"/>
                                  </be>
                                  <ref key="change" refId="22"/>
                                  <ref key="dataType" refId="23"/>
                                  <b key="prevailingDataType">N</b>
                                  <ref key="editability" refId="24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b key="breakLevelSubtotal">N</b>
                                  <b key="alreadyDrilled">N</b>
                                </be>
                                <cust key="id" clsId="FilterOid">7</cust>
                                <i key="index">0</i>
                                <ref key="parent" refId="1095"/>
                              </be>
                            </l>
                            <ref key="parent" refId="1089"/>
                          </be>
                        </l>
                        <ref key="parent" refId="1083"/>
                      </be>
                    </l>
                  </be>
                  <be key="rowHeaders" refId="1106" clsId="ReportingHeaders">
                    <m key="headers" refId="1107" keid="SYS_PR_I" veid="System.Collections.IList">
                      <key>
                        <i>-2</i>
                      </key>
                      <val>
                        <l refId="1108" ln="1">
                          <s>$Account(HIERARCHY("PAL")).code</s>
                        </l>
                      </val>
                      <key>
                        <i>-1</i>
                      </key>
                      <val>
                        <l refId="1109" ln="1">
                          <s>$Cust_Dim1(HIERARCHY("LC_01")).desc</s>
                        </l>
                      </val>
                    </m>
                    <m key="headersDims" refId="1110" keid="SYS_PR_I" veid="SYS_STR">
                      <key>
                        <i>-2</i>
                      </key>
                      <val>
                        <s>VOC_PAL</s>
                      </val>
                      <key>
                        <i>-1</i>
                      </key>
                      <val>
                        <s>DEST1_LC_01</s>
                      </val>
                    </m>
                  </be>
                  <be key="columnHeaders" refId="1111" clsId="ReportingHeaders">
                    <m key="headers" refId="1112" keid="SYS_PR_I" veid="System.Collections.IList">
                      <key>
                        <i>-2</i>
                      </key>
                      <val>
                        <l refId="1113" ln="1">
                          <s>
                            IF(and($PeriodLength.desc = "Cumulated", mid($Scenario.code,7,1) = "D"),  "Sum Budget"
                            <ch cod="0a"/>
                            , IF($PeriodLength.desc = "Cumulated", "Sum"
                            <ch cod="0a"/>
                            <ch cod="0a"/>
                            , IF(mid($Scenario.code,3,2) &gt; mid($Scenario.code,9,2) 
                            <ch cod="0a"/>
                            , IF(mid($Scenario.code,7,1) = "D", "Budget",  "Actual")
                            <ch cod="0a"/>
                            <ch cod="0a"/>
                            <ch cod="0a"/>
                            , IF(mid($Period.desc,2,1) &gt;= mid($Scenario.code,7,1),"Forecast"
                            <ch cod="0a"/>
                            <ch cod="0a"/>
                                  , IF(mid($Scenario.code,3,2) = mid($Scenario.code,9,2)
                            <ch cod="0a"/>
                            <ch cod="0a"/>
                                   , IF($PeriodLength.desc = "Quarter"
                            <ch cod="0a"/>
                                  , IF(mid($Period.desc,2,1) &lt; mid($Scenario.code,7,1),"Actual"," "),"Forecast"),"Forecast")))))
                          </s>
                        </l>
                      </val>
                      <key>
                        <i>-1</i>
                      </key>
                      <val>
                        <l refId="1114" ln="1">
                          <s>
                            IF($PeriodLength.desc = "Quarter"
                            <ch cod="0a"/>
                               , $Period.desc  + " " + $Scenario.year ,$Scenario.year
                            <ch cod="0a"/>
                               )  
                            <ch cod="0a"/>
                          </s>
                        </l>
                      </val>
                    </m>
                    <m key="headersDims" refId="1115" keid="SYS_PR_I" veid="SYS_STR">
                      <key>
                        <i>-2</i>
                      </key>
                      <val>
                        <s>SCE_$</s>
                      </val>
                      <key>
                        <i>-1</i>
                      </key>
                      <val>
                        <s>SCE_$</s>
                      </val>
                    </m>
                  </be>
                  <e key="styleType" refId="1116" id="MatrixStyleType">2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7" id="RowColExpansionMode">1</e>
                  <i key="maxCols">0</i>
                  <ref key="colsExpansionMode" refId="1117"/>
                  <e key="columnsAutofitMode" refId="1118" id="ColumnsAutofitMode">0</e>
                  <b key="useForcedBoundDims">N</b>
                  <e key="disableHints" refId="1119" id="MatrixHintsPolicy">C</e>
                  <e key="tipoAllineamentoLordiIC" refId="1120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121" keid="SYS_STR" veid="StyleSheet">
                    <key>
                      <s>184</s>
                    </key>
                    <val>
                      <be refId="1122" clsId="StyleSheet">
                        <be key="version" refId="1123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e key="applyFirst" refId="1124" id="MultiplePosBlockType">COLUMNS</e>
                        <m key="rules" refId="1125" keid="SYS_STR" veid="System.Collections.IList">
                          <key>
                            <s>46524D4F424A-45-535542----524F5753-535542-56414C554553-234E2F41</s>
                          </key>
                          <val>
                            <l refId="1126" ln="1">
                              <be refId="1127" clsId="StyleRule">
                                <be key="ruleCondition" refId="1128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129" ln="1">
                              <be refId="1130" clsId="StyleRule">
                                <be key="ruleCondition" refId="1131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1132" ln="1">
                              <be refId="1133" clsId="StyleRule">
                                <be key="ruleCondition" refId="1134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</m>
                        <d key="dateUpd">1504521054897</d>
                        <e key="tipoClient" refId="1135" id="TipoClient">NET</e>
                      </be>
                    </val>
                    <key>
                      <s>190</s>
                    </key>
                    <val>
                      <be refId="1136" clsId="StyleSheet">
                        <be key="version" refId="1137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e key="applyFirst" refId="1138" id="MultiplePosBlockType">ROWS</e>
                        <m key="rules" refId="1139" keid="SYS_STR" veid="System.Collections.IList">
                          <key>
                            <s>46524D4F424A-45-48454144455253----524F5753-234E2F41-48454144455253-234E2F41</s>
                          </key>
                          <val>
                            <l refId="1140" ln="1">
                              <be refId="1141" clsId="StyleRule">
                                <be key="ruleCondition" refId="1142" clsId="StyleRuleCondition">
                                  <b key="trailing">N</b>
                                  <b key="leading">N</b>
                                </be>
                                <s key="codStile">Style3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143" ln="1">
                              <be refId="1144" clsId="StyleRule">
                                <be key="ruleCondition" refId="1145" clsId="StyleRuleCondition">
                                  <b key="trailing">N</b>
                                  <b key="leading">N</b>
                                </be>
                                <s key="codStile">Style9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197</s>
                    </key>
                    <val>
                      <be refId="1146" clsId="StyleSheet">
                        <be key="version" refId="1147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38"/>
                        <m key="rules" refId="1148" keid="SYS_STR" veid="System.Collections.IList">
                          <key>
                            <s>46524D4F424A-45-48454144455253----434F4C554D4E53-234E2F41-48454144455253-234E2F41</s>
                          </key>
                          <val>
                            <l refId="1149" ln="1">
                              <be refId="1150" clsId="StyleRule">
                                <be key="ruleCondition" refId="1151" clsId="StyleRuleCondition">
                                  <b key="trailing">N</b>
                                  <b key="leading">N</b>
                                </be>
                                <s key="codStile">Style0_Header</s>
                              </be>
                            </l>
                          </val>
                          <key>
                            <s>46524D4F424A-45-464F52----434F4C554D4E53-464F52-56414C554553-234E2F41</s>
                          </key>
                          <val>
                            <l refId="1152" ln="1">
                              <be refId="1153" clsId="StyleRule">
                                <be key="ruleCondition" refId="1154" clsId="StyleRuleCondition">
                                  <b key="trailing">N</b>
                                  <b key="leading">N</b>
                                </be>
                                <s key="codStile">Style14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117</s>
                    </key>
                    <val>
                      <be refId="1155" clsId="StyleSheet">
                        <be key="version" refId="1156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bi key="blob" ln="12454">UEsDBBQABgAIAAAAIQC/5XFQcgEAAGYE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slE1PwkAQhu8m/odmr6Zd8GCMoXBQPCqJ+AOW3YFu2K/sLFj+vdPykWigSPDSpp3O+8zbmdnBqLYmW0NE7V3J+kWPZeCkV9otSvY5fc0fWYZJOCWMd1CyDSAbDW9vBtNNAMwo22HJqpTCE+coK7ACCx/AUWTuoxWJHuOCByGXYgH8vtd74NK7BC7lqdFgw8ELzMXKpGxc0+ttJTPtWPa8/a5BlUyEYLQUiQrla6d+QXI/n2sJysuVJekCQwShsAJI1hQhaiLGD0iJjCHjR5kRDF4G3bkqKLMtDCsd8I6snyA0kdOudnnv1I6oFWQTEdObsOSd14Z/+biceb8sukWaX2Mxh1qCKVr/hRUy+rETMwMUE9rtK+wgtZnI21v/D8ifLe/uRuOkFT5TR6JpAt5ery+hlTkDxLQxgP/sdivaRaahnUQfkPYiwuX0/RA22XkgIYhJw2EMjzX5QKSlutouNFurQB1h8/aUGH4D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jYfacOAAAAAtAg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HLasMwEEX3hf6DmH09dgqllMjZlEK2xf0AIY8fxJaEZpLWf1/hgt1ASDbZCK4G3XMkbXc/46BOFLn3TkOR5aDIWV/3rtXwVX08vYJiMa42g3ekYSKGXfn4sP2kwUg6xF0fWKUWxxo6kfCGyLaj0XDmA7k0aXwcjaQYWwzGHkxLuMnzF4z/O6A861T7WkPc18+gqikk8u1u3zS9pXdvjyM5uYBAlmlIF1CViS2Jhr+cJUfAy/jNPfGSnoVW+hxxXotrDsU9Hb59PHBHJKvHssU4TxYZPPvk8hcAAP//AwBQSwMEFAAGAAgAAAAhACAzL9k7AgAAmQQAAA8AAAB4bC93b3JrYm9vay54bWysVMlu2zAQvRfoPwi821osJY4gKYiXogaKIkizXHKhqZHFmotKUrXTov/ekVS1aX1J0V5Ecki+mffeUNnlUQrvMxjLtcpJOA2IB4rpkqtdTu5u30zmxLOOqpIKrSAnT2DJZfH6VXbQZr/Veu8hgLI5qZ1rUt+3rAZJ7VQ3oHCn0kZSh0uz821jgJa2BnBS+FEQnPmSckUGhNS8BENXFWew0qyVoNwAYkBQh+Xbmjd2RJPsJXCSmn3bTJiWDUJsueDuqQclnmTpZqe0oVuBtI9hMiLj9ARacma01ZWbIpQ/FHnCNwz8MBwoF1nFBdwPsnu0ad5T2WURxBPUunXJHZQ5OcOlPsBvAdM2i5YL3A3jOAqIX/y04tp4JVS0Fe4WTRjh8WAyi6KoO4mkroQDo6iDpVYONfyh/r/q1WMva43ueDfwqeUGsCk62YoMv5SldGuvqau91oicLNPHO4v0H7G1PtKp1aoEA7sdmMdnOtNTE/9Caco6yj5yHuoa5n/yL7Kui+85HOwvJbulJ7nikn/pjAixqAeuSn3ICb6Qp2fzQx9+4KWrcxLN5wHuD7G3wHe1w8tRPEv6Up5l6p8BZuxHT/X2f+ieBqbqY5shrUk5TsymDHuE8RqjgqHd3dAfTKIk7E/A0b2zrshwRKV5Tr6GcXB1HlzEk2A9Sybx/CKazONZNFnGq2idnK9X60Xy7f82Nxqejv+HrsqaGndrKNvjX+UGqgW12OwDIawTfRmr9sdbxXcAAAD//wMAUEsDBBQABgAIAAAAIQA7bTJLwQAAAEIBAAAjAAAAeGwvd29ya3NoZWV0cy9fcmVscy9zaGVldDEueG1sLnJlbHOEj8GKwjAURfcD/kN4e5PWhQxDUzciuFXnA2L62gbbl5D3FP17sxxlwOXlcM/lNpv7PKkbZg6RLNS6AoXkYxdosPB72i2/QbE46twUCS08kGHTLr6aA05OSonHkFgVC7GFUST9GMN+xNmxjgmpkD7m2UmJeTDJ+Ysb0Kyqam3yXwe0L0617yzkfVeDOj1SWf7sjn0fPG6jv85I8s+ESTmQYD6iSDnIRe3ygGJB63f2nmt9DgSmbczL8/YJAAD//wMAUEsDBBQABgAIAAAAIQCLgm5YkwYAAI4aAAATAAAAeGwvdGhlbWUvdGhlbWUxLnhtbOxZz4sbNxS+F/o/DHN3/GtmbC/xBntsZ9vsJiHrpOSotWWPspqRGcm7MSFQkmOhUJqWXgq99VDaBhLoJf1rtk1pU8i/0CfN2COt5W6abiAtWcMyo/n09Om9N9+TNBcv3Y2pc4RTTljSdqsXKq6DkxEbk2Tadm8OB6Wm63CBkjGiLMFtd4G5e2n7/fcuoi0R4Rg70D/hW6jtRkLMtsplPoJmxC+wGU7g2YSlMRJwm07L4xQdg92YlmuVSlCOEUlcJ0ExmL02mZARdobSpLu9NN6ncJsILhtGNN2XprHRQ2HHh1WJ4Ase0tQ5QrTtwjhjdjzEd4XrUMQFPGi7FfXnlrcvltFW3omKDX21fgP1l/fLO4wPa2rMdHqwGtTzfC/orOwrABXruH6jH/SDlT0FQKMRzDTjotv0u61uz8+xGii7tNjuNXr1qoHX7NfXOHd8+TPwCpTZ99bwg0EIXjTwCpThfYtPGrXQM/AKlOGDNXyj0ul5DQOvQBElyeEauuIH9XA52xVkwuiOFd7yvUGjlhsvUJANq+ySQ0xYIjblWozusHQAAAmkSJDEEYsZnqARZHGIKDlIibNLphEk3gwljENzpVYZVOrwX/48daU8grYw0npLXsCErzVJPg4fpWQm2u6HYNXVIC+fff/y2RPn5bPHJw+enjz46eThw5MHP2a2jI47KJnqHV98+9mfX3/s/PHkmxePvrDjuY7/9YdPfvn5czsQJlt44fmXj397+vj5V5/+/t0jC7yTogMdPiQx5s5VfOzcYDHMTXnBZI4P0n/WYxghYvRAEdi2mO6LyABeXSBqw3Wx6bxbKQiMDXh5fsfguh+lc0EsI1+JYgO4xxjtstTqgCtyLM3Dw3kytQ+eznXcDYSObGOHKDFC25/PQFmJzWQYYYPmdYoSgaY4wcKRz9ghxpbZ3SbE8OseGaWMs4lwbhOni4jVJUNyYCRS0WmHxBCXhY0ghNrwzd4tp8uobdY9fGQi4YVA1EJ+iKnhxstoLlBsMzlEMdUdvotEZCO5v0hHOq7PBUR6iilz+mPMua3PtRTmqwX9CoiLPex7dBGbyFSQQ5vNXcSYjuyxwzBC8czKmSSRjv2AH0KKIuc6Ezb4HjPfEHkPcUDJxnDfItgI99lCcBN0VadUJIh8Mk8tsbyMmfk+LugEYaUyIPuGmsckOVPaT4m6/07Us6p0WtQ7KbG+WjunpHwT7j8o4D00T65jeGfWC9g7/X6n3+7/Xr83vcvnr9qFUIOGF6t1tXaPNy7dJ4TSfbGgeJer1TuH8jQeQKPaVqi95WorN4vgMt8oGLhpilQfJ2XiIyKi/QjNYIlfVRvRKc9NT7kzYxxW/qpZbYnxKdtq/zCP99g427FWq3J3mokHR6Jor/irdthtiAwdNIpd2Mq82tdO1W55SUD2/ScktMFMEnULicayEaLwdyTUzM6FRcvCoinNL0O1jOLKFUBtFRVYPzmw6mq7vpedBMCmClE8lnHKDgWW0ZXBOddIb3Im1TMAFhPLDCgi3ZJcN05Pzi5LtVeItEFCSzeThJaGERrjPDv1o5PzjHWrCKlBT7pi+TYUNBrNNxFrKSKntIEmulLQxDluu0Hdh9OxEZq13Qns/OEynkHucLnuRXQKx2cjkWYv/Osoyyzlood4lDlciU6mBjEROHUoiduunP4qG2iiNERxq9ZAEN5aci2QlbeNHATdDDKeTPBI6GHXWqSns1tQ+EwrrE9V99cHy55sDuHej8bHzgGdpzcQpJjfqEoHjgmHA6Bq5s0xgRPNlZAV+XeqMOWyqx8pqhzK2hGdRSivKLqYZ3Alois66m7lA+0unzM4dN2FB1NZYP911T27VEvPaaJZ1ExDVWTVtIvpmyvyGquiiBqsMulW2wZeaF1rqXWQqNYqcUbVfYWCoFErBjOoScbrMiw1O281qZ3jgkDzRLDBb6saYfXE61Z+6Hc6a2WBWK4rVeKrTx/61wl2cAfEowfnwHMquAolfHtIESz6spPkTDbgFbkr8jUiXDnzlLTdexW/44U1PyxVmn6/5NW9Sqnpd+qlju/Xq32/Wul1a/ehsIgorvrZZ5cBnEfRRf7xRbWvfYCJl0duF0YsLjP1gaWsiKsPMNXa5g8wDgHRuRfUBq16qxuUWvXOoOT1us1SKwy6pV4QNnqDXug3W4P7rnOkwF6nHnpBv1kKqmFY8oKKpN9slRperdbxGp1m3+vcz5cxMPNMPnJfgHsVr+2/AAAA//8DAFBLAwQUAAYACAAAACEA683Sy5kEAABdFwAAGAAAAHhsL3dvcmtzaGVldHMvc2hlZXQxLnhtbKxYTW/jNhC9F+h/EHhfy/qwkxiWF2mDRXMoUDTb3hmZtoVIokoxm01/fR+HtterEbZmnJuUjN+QM+/NjGb58WtTR1+U6SvdFiKZTEWk2lKvq3ZbiL8+f/pwLaLeynYta92qQryqXnxc/fzT8kWbp36nlI2A0PaF2FnbLeK4L3eqkf1Ed6rFfzbaNNLi1WzjvjNKrulHTR2n0+k8bmTVCo+wMOdg6M2mKtWdLp8b1VoPYlQtLc7f76quP6A15TlwjTRPz92HUjcdIB6rurKvBCqiplzcb1tt5GONe39NclkesOmFwTdVaXSvN3YCuNgflN/5Jr6JgbRarivcwIU9MmpTiNtkcTvPRLxaUoD+rtRLf/IcWfn4oGpVWrVGnkTk4v+o9ZMzvMefpoDsycBBytJWX9Svqq6BDNio/8d78S7io4/V8tvzwd8nytkfJlqrjXyu7Z/65TdVbXcWjmeIgQvFYv16p/oSOYDrSTo7HvxOWrlaGv0SIZ84Z99Jx45kgefxX66WpbO9dcbuJwhBjN8fQdIQEGdciPyaobgYnH0UZ1yIbMpQ8hAUZwyUnKEgiOefxRnjRjcMZR6C4oyBkjKUqxAUZ1yIGY+LqxJnR9cZA4XH5SYExRmDLhwlQQ0LYJ2zJmIPeZeEsdfTN79iEU6CCEzWhUh5jJMgCpM17jXn5wkiMQJM8Rm5VxCNXeVwDKQS952+ccSQfO2ZPHKvIConnstcEEkQl8kaIudRDiJz4tnMyQweBASHrCEtXkODuJx6LvMQp2G12Bdjzpw0iMlkXQhe0tMgIpN1IXgdRfMKCbHnMYoM61NBPE49j1FkGE4Qj9N9TR7J+YDIvn9PrnABu6vKp1+0a+ijXTnDMOGbcrov1iPHHBCc4OeTA/pn3RF6gCuvgRmnHRrxdxka3uTg68fzBaFAHJyP2UAdb4oUgQB+ZPQYqObiSGVeWDPO5WygrDdGys8/c85xDDMhY5TvHXNOnixIc2RdiDkv1lmQ5sgaKRrBCdJc5jWX83KdBTUPskbzGMljUPcAAE2avAbkQe2DrHEenq88qH+QNWYYrjQMoD9U8lk1iUAAP3LMMfpfUpMwrtD0w0WN5PObXOTKiwU5GDaEfCCWi+sHASLPvNLmAz1d7sq3OVQsdquB5C53tZ/oRnI11gkvypXvivuP6dOPVXynvTMt9l2RT5j4DGOu3ORGHffs9js7tnrCw4TOq8hsrD9ef5sk3uJs/7nENYzq/L4RJECwnVejWdAcStbAGclEUFfEh6+rKSmv+rMxoc8CJzYCATxXHCardxijCAX4I2EIaqKYw6hpcblihArZj3gtYrwfVhjMRyE4+4XCyKJlTGhI4v+NtvlRWpikKOVcWpiNuIjzcGmd+PLKwvfFMB6Yn95XWQSIKZ9TjVaOJwuht82hhAL8E6r5baVfMnZyq36XZlu1fVSrDW0iQSrjV5XTCZ6t+wrBE4T1qK3VzeFth020wtZxOkEN2GhtDy8ImsN9UPa5izrZKfNQ/YsFMNihTYV9J62aC9FpY42sLPwtKuxfzf3a17LjYnz1HwAAAP//AwBQSwMEFAAGAAgAAAAhAPX4ZlyoDgAAoG4AAA0AAAB4bC9zdHlsZXMueG1szF39btvIEf+/QN+BUHDFXVBZpEjqw2c7tWWrDZCmAeKiBXpFQEu0zQtFuhSV2lf0nz5Pn6pP0tkP7s5SuyRlU6JhBJEozs7sb2ZnZ2eWy5N3j6vY+hZm6yhNTnvOkd2zwmSRLqPk7rT35+t5f9Kz1nmQLIM4TcLT3lO47r07+/WvTtb5Uxx+vg/D3IImkvVp7z7PH44Hg/XiPlwF66P0IUzgl9s0WwU5fM3uBuuHLAyWa0K0igdD2x4NVkGU9FgLx6tFk0ZWQfZ189BfpKuHII9uojjKn2hbPWu1OH5/l6RZcBODqI+OFyyKtumXreZX0SJL1+ltfgTNDdLb22gRbks5HUwH0NLZSbJZzVf52lqkmyQ/7Y3EJYv98n4JEI68nsU6PUuXIMaX73/zj02a//i///yXfXhrvfntmzf2lx9+1Pz00/f0x5+0PzL6PvuP0v/uyw+9QSGYIoVflgKzfWthPm+tXRoeNevekV3dQ/i9QSffvavp5tjQzYK96GnBr9TZWgZg/1ibVDswSvSgT9Wb7SP7O3LngBvO2cltmkj7GYKlULs8/pqk/0zm5DcwILAqctvZyfoX61sQwxWHNLJI4zSzchhcYFT0ShKsQnbHLIijmywit90Gqyh+YpeH5AIdj/y+VQSjg0rEOHTEZ7LVH5cCWu6P9SG6u8/rexX8rOnVDel7gaDfkOMzEVR40b4o2tL3rg1e25bRKi+dBWZ3N6e9+Ryct2OzcbBHM+TMpjMb+GltpEWbF8xG/sF65s7d+bjVnim2iOyD944wdOdtQlnDcH4+vjwYnO0zM/WOO+JDjQAy4NpFMcL+cdtOxnPydwg7OfCUtheNbc9oEEjnEYkS+97RdDqZus7EHzqjievZ7lWfzsxy/r4O7tNVoHVlAzxTK8ZIO7L/qAB1jbsQz/O90blqGk17UMwo24C1GtJgoPbMytyjkqXVQ0R1vYYYLopjscpwyTKDXDk7gQVPHmbJHL5Y/PP10wOEgwmszYg+Buy+mrvvsuDJGdKQqBnBOo2jJZHibkaDUG4Hs9HVfHZF+SLJmkphaHQ+n4330OjVxXTWvqSz6bTtRodz+Gu50XOf/LXefVBVa5jyScBrS0jRHvfC9tF4Cm4YHPBkMvVcx/MoyDfcoqNkGT6GsHwftQbTtgQ+SDB1J9PREASxvQlldVAJXBBg7PsT35kOPfhHfe7+JWgbU8htsLm1M60iCTrSKpKgI63SVcugBc/PRwokljrWKpKgI60iCTrS6rhlDwwJuo61iiToSKtIgo60SmPgFscqZEU71iqSoCOtIgk60mprwSf3wJC+7lirSIKOtIokOLRW+bLKn5I/4oa3I7PW4mPO69KeXbHV1v55kYUNW9rswouuUGFNfJNmSyhTFrU3x4f1KLt2dhKHtznAlZFqAfyfpw8EvDTPoah3drKMgrs0CWKyPi4oGlBC2RMqnKe9/D5afAVmSqaF6YGx2BcHMRY9snLxxp499vzhiC0OW2K9CpfRZrXdO8FbOwYARoJtfccRholgwk1PJhgHRH9cfQ0pqKqpphsSgE0UJtGQoo0+ymR70z4iimZ9RAQN+4goWrKiZbqBintZwfP5xLbpCnNne9E3WI1mLc02nrUkGkRradqwm4sh+aOReMOxgSia2Q0iaGg3iOJ5dqMdeEripx5v5fYXQS0KOLV5+tqxu0NTUjm7TFFVyDUoNOynAy8Vqs7sdkB1V0NYBrAJiWS02aRe5LNJiY0m7fcLWC133TCok/gQENQKrnGxdXIfoq8Qwm2FHzIabTo1I4pmLhYRNHSxiKJKnzyMhah4EcbxZxKn/vVWbktzwbAfb9FuMHARpIpItqeRj1A+4h9ZGMy+gD9SiJwR3VvFyBwjmRU8PMRPZO8SbZx9Aw7y2wWN3OX38zi6S1YhJviUpXm4yOkeRDoAS5LQzWyvQhK6++1VSEK3Gb4CSeiet1cgBzLyYY21ftysbsJsTnem7s1qkTyuQR4YVXS8NJFn51GD+BNT0Q16wOkg/Mnw1fEHXDrlDxA15v9iL4b0QZwIxwNUgJ1wlTxtSkBcO5cAlNCFBGRfLZcAzLMLCYjj4hKAgUoJQJwKq3jJOHTQ7As2IFkC/32xRDO3wnKPvTS5X+B/kOHuIH8Lhi5hhi/7gtnkYrtyMUjtMNIkBPClSgdKGPciUzf5/M4AQU4XZJCIgBs4jFUinws8u/B4yCiIK+paBBCnExGQIpyO5l8Hy9DRDIytoaMpGIugzMHVXqLNSEjRhDJDdiSDMmMdUAYZDTnKjNGNCF15SDQuh125SCxDVz4SrVC6cpFIhK48JNZEVy4Sy9CVj0Sq6MpFIhG68pBYE125SCxD91Gk230U6b6CKNLtykWiJIqr+EgI789O4KFglmi37tMs+gXWduRp4gVk3sOsRx76z6MFukL2xzzemksHQ2Ma0xQitC6Cg3I2bskhm5iRAvpzeotyNSUr35GTRR4uINUOtheiCmLcP4UprFPa6B88/iBLQbD7XyYBFTArrIdWvprCqbIzAbp3bq4ybcLT9CYoX9A5U87L8drihuosJDLVJtTbgxJz685OSpozO7UdNYd7Z9RcS3ZCdMWLr2RhpddbTSWkorpam6Rr3wnjWUcdWjXJPaUbOy/iX8GExjKF+4N8gOv5rLqPC/vEl+xe2Lceb/UVfoNlbkUSvAFv3H5MUZWRZGLDISnlnQlYbpS1KC/QOD199MGEGuZfDukZPcR2zfgPy0Egp6ePSTXgPyyvrBi9t70fQt//rVic0zfGrxxIc/zow3tN8CsvTjk93cnehL68nOH40QNNmuBXThJwevpAk5G+oirA5a/Wf0Xdh9FDSFdlPxUBbTHspq2EfshojOED3MOE9s0zrSGcrgtyG4eChQRkE5N+AdNOCLoVFBaMWwvY8PapiookNxN9YY4uGRTjxdttUBhYLifzVvWF5e1Wmy8MCpjMC5Id9YNhqihW8w7pa8jbHcI+EkV4yhwBbfFWi8IwOVmBr9NMHqNi3wJvbNthGXRWLsxyh6MPooq9QmynXaVdmCJaEIMPb17yLNpiYU0RkFWCWdt2oSBza8rGQpTPUvw3ORqNhi2kQqepzxZwVLHBO+RQOVqZp6EdPk9qMSkMYgeEKraV8B5tz8jOqOl6q9CgORZ7wfAzJheFNjz9QqWJNvDOyVptFGxUC32GNhCn8iYfro1iuDVt3DiTbS1WC11N2prKsKs0lgWErlz9zoYmusL7bWt1VQzQvekKjIHpquhQAzdtzt4Zl0PqhmdjEU7ia5pc65yFyqgW37LnZ80/YyygWFUZC6BAhm8RgzTA15yJJbuvWHMjMbTowl/0g0+yW4tpc8JllxyuOj4r8nLF8CRPkrYSaRqGJ9lhoOwuZOiQwsWzJjYU2qCwUk3EFCqoC2zUiacirViARQ6jagEsHJ6hCRMuS6TIzM/jlXYsAy+BqmoZPCAwu+3dSigqxhXpxqK35gXfTnO7AWN1mhJLvpHezcj4ak/D1ZDMUJIRMvwoXG7D6NK8zUo0OSyGiLoJv36WRIKb9nOL4BJqDrvE2PXGCU+BH1QfBCWND/OaBBMmt6jE4XATX/6YVni7zapo+nbK+565/61eZ1VZGA6PcJyguC8ZJ8CnZ65gTAGfsowV0LmmHMKzoRsqS1Q5DJ+/JjNAp1bQJaPWjUFJMkon8NxlDfZe9YGyPgJSLI1WACDnjx7tUx/sExUCixwfetob2t9Zfet8QeYk4W/IyeI3myiG01xI6h9Sw5CDrKIUUy3VOKKka9UqShHtURUiSnbsZvF8okZaOUDIAJWU7GS+Kp6ANJ+jyYhDlDTXXkUpUj6eihAkPDUIeVpsSaSF+smOzi31E1NKbInxIUp2KHkFpcSW5EYQJc0pl/uJeUpsieNGCLHDySt4SmzJFIwoaR69iqfEVkXI1yI00mKrWgKrvZR5YkqBLa1+IIS0loApJbaqJbB6SxVPiS3xjggh7VjBPCW2ZO5DlNqxgikltipCPq1OlKUtewPVeoZa62E00lZVu4GaoGZ8MBqJpGoxrtZiGI2yiMZIaG2F0Qj0SGID02jHEaORuKkYeFoMLoIlTjsiHhD/aPoPr11YbGJ4C0lK3mHC0pWqfqAoqKO7DxdfrRmMQkGmmhJstdKRpSs4JLpgpHoE4/3W3+y/i9hKodEOkdkmy+AFME8FSQk2LRtOgjmpY0oL3tXjQxwkQZ5mT9Z1+JgLIVUr8rVQ/D5NpapUAqijarD7A7x4Bt5pY4kpUrVviBEriHCCBBkFrC4qiHDWChNpx3ohnhgX9Pkc6SFYFbE8zt8nDxuBG+w0wqMCinwa4T5EyddwqZqeigSrt5c5fQw3eRZIcy15FG2fPpLnqwWJOlNrhfsIhwAIK1DvBzg0vfnTJscAqNMOO9y23JFPYUYiJZFZUDDTOhJ6vIL9hWiIbJvkgYdW9fRWYWGeFhV2j1h2+xUNiZb8ipZkkkTr0hg7nJLT4MhuErYHqQDjTcIJs3PIyvDSloRIei9L7xES6SMveo8QSB9B0HuEPPqZkN4jJgG9L6H3iEWUr53F6T3go3k+ymwossam9SjXUQ4HZRX5UcX44EQ7DerXKWzaFYNCDRvYEe5lFfwlyBLi6bBPJdla7IPYTlRBCauN5aM8QISOtZy8RIt2W6w/wGiX4W2wifNr8eNpT37+Iz1MDmTkd32KvqU5beK0Jz/Td/pwf0tOkwfmq2xDD5Ynqx58wLw8DkW5LN8/oFyWZxkql+VxigPEZ0DvAYYw83xYw+lz8L+1yaLT3r+uLsbTy6v5sD+xLyZ9zw39/tS/uOz73uzi8nI+tYf27N+gEvLWs2N4f9ML3ipG334Ge7oc73gdw7vHMg44B/CzvHbaQ18YhMRcBiA2ln06HNnnvmP3567t9L1RMOlPRq7fn/vO8HLkXVz5cx/J7j9PdsceOA57dRsR3j/Oo1UYR0lhL4WV4KtgKPC1ohOkK1QTg7V4tdzZ/wEAAP//AwBQSwMEFAAGAAgAAAAhAFTqE+dWAQAAiQ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ySX0vDMBTF3wW/Q8h7m6abzoW2A//syYFgRfEtJHddtU1DEt327U3brVYmKOQluef+7jmXJItdXaFPMLZsVIppGGEESjSyVEWKn/JlcIWRdVxJXjUKUrwHixfZ+VkiNBONgQfTaDCuBIs8SVkmdIo3zmlGiBUbqLkNvUL54roxNXf+agqiuXjnBZA4ii5JDY5L7jhpgYEeiPiAlGJA6g9TdQApCFRQg3KW0JCSb60DU9tfG7rKSFmXbq99poPdMVuKvjiod7YchNvtNtxOOhvePyUvq/vHLmpQqnZXAnCWSMGEAe4ak+VcvXH02CgJBooCDArQ3c67UbxKyEjYLrXi1q38/tclyOv9H72nej+3i9kPB4m8cdbHPFaeJze3+RJncURnQTQPomkezdnFnMWz19bOj/42SP9QH0z9g0hpTqfMn5iOiEdAlpCTz5N9AQAA//8DAFBLAwQUAAYACAAAACEAek+mBk8BAAC4FwAAJwAAAHhsL3ByaW50ZXJTZXR0aW5ncy9wcmludGVyU2V0dGluZ3MxLmJpbuyYwUrDQBCG/ySCVQ/ePHjypl5ahV5MT6VBQWoNmEIPuQQTMZA2JV3MTfA1fBofpA9QfIn037U9CEFF9FJml8zuzvw7S74QWGaICVL4KGgnUDjCCe4Q4QkJ5z48XOLUeAt6Yqr0eE9lAt2srRhzzA+c6gUWdvC6127EnO1jZNscR7ZDVRdto/5bY3+T7ngVXzgLZ/sfzpeUQuC3BDy/163bW5Zls/Oo1NRttToPaZbocRylmcpd45+ZgIkLfSEgBISAEBACQkAI/ITAW1VVWmfxqbuArO/UOq5bbLSW0ecN4H1XOAsBIbCJBOr+ffnSQkAICAEh8DWBHlyEGGLGumhBGyLg/WqAa9pnnKPJquot1yHXU3aPNVbFJ0QfOeupETKzJ8GY0RAXq0hpsn6u0epzdGW2jytmDdgHzB/ghl5pm03g8Ozj/ZYAAAD//wMAUEsDBBQABgAIAAAAIQCtaqdRlQEAABs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SzW7bMBCE7wX6DgLvMeX0B4VBMTDstinaIgakJGeWWllEKJLgbgS7T19Kgh257Sm33dnB8OOS4ubQ2ayHiMa7gi0XOcvAaV8bty/YffXl6hPLkJSrlfUOCnYEZDfy7Ruxiz5AJAOYpQiHBWuJwopz1C10Chdp7NKk8bFTlNq4575pjIat188dOOLXef6Rw4HA1VBfhXMgmxJXPb02tPZ64MOH6hgSsBTrEKzRitIt5U+jo0ffUPb5oMEKPh+KRFeCfo6GjjIXfN6KUisLmxQsG2URBH8RxC2oYWk7ZSJK0dOqB00+Zmh+p7Vds+yXQhhwCtaraJSjhDXYpmasbUCK8tHHJ2wBCAVPhkkcy7l3Xpv3cjkaUnFpHAImkDS4RKwMWcC7Zqci/Yd4OSceGSbeCacc+KYz53zjldNJf2VvfBeUO8ry+7ftulpn66+CnzTxw7gnvA+V3yqC02IvRVG2KkKd3uK8+LMgbtNOox1CNq1ye6hPnn8Hwzd4mP66XH5Y5O/y9MIzTfCXXy3/AAAA//8DAFBLAQItABQABgAIAAAAIQC/5XFQcgEAAGYEAAATAAAAAAAAAAAAAAAAAAAAAABbQ29udGVudF9UeXBlc10ueG1sUEsBAi0AFAAGAAgAAAAhALVVMCP0AAAATAIAAAsAAAAAAAAAAAAAAAAAqwMAAF9yZWxzLy5yZWxzUEsBAi0AFAAGAAgAAAAhAI2H2nDgAAAALQIAABoAAAAAAAAAAAAAAAAA0AYAAHhsL19yZWxzL3dvcmtib29rLnhtbC5yZWxzUEsBAi0AFAAGAAgAAAAhACAzL9k7AgAAmQQAAA8AAAAAAAAAAAAAAAAA8AgAAHhsL3dvcmtib29rLnhtbFBLAQItABQABgAIAAAAIQA7bTJLwQAAAEIBAAAjAAAAAAAAAAAAAAAAAFgLAAB4bC93b3Jrc2hlZXRzL19yZWxzL3NoZWV0MS54bWwucmVsc1BLAQItABQABgAIAAAAIQCLgm5YkwYAAI4aAAATAAAAAAAAAAAAAAAAAFoMAAB4bC90aGVtZS90aGVtZTEueG1sUEsBAi0AFAAGAAgAAAAhAOvN0suZBAAAXRcAABgAAAAAAAAAAAAAAAAAHhMAAHhsL3dvcmtzaGVldHMvc2hlZXQxLnhtbFBLAQItABQABgAIAAAAIQD1+GZcqA4AAKBuAAANAAAAAAAAAAAAAAAAAO0XAAB4bC9zdHlsZXMueG1sUEsBAi0AFAAGAAgAAAAhAFTqE+dWAQAAiQIAABEAAAAAAAAAAAAAAAAAwCYAAGRvY1Byb3BzL2NvcmUueG1sUEsBAi0AFAAGAAgAAAAhAHpPpgZPAQAAuBcAACcAAAAAAAAAAAAAAAAATSkAAHhsL3ByaW50ZXJTZXR0aW5ncy9wcmludGVyU2V0dGluZ3MxLmJpblBLAQItABQABgAIAAAAIQCtaqdRlQEAABsDAAAQAAAAAAAAAAAAAAAAAOEqAABkb2NQcm9wcy9hcHAueG1sUEsFBgAAAAALAAsA5AIAAKwtAAAAAA==</bi>
                        <ref key="applyFirst" refId="1138"/>
                        <m key="rules" refId="1157" keid="SYS_STR" veid="System.Collections.IList">
                          <key>
                            <s>46524D4F424A-45-464F52----524F5753-464F52-56414C554553-234E2F41</s>
                          </key>
                          <val>
                            <l refId="1158" ln="1">
                              <be refId="1159" clsId="StyleRule">
                                <be key="ruleCondition" refId="1160" clsId="StyleRuleCondition">
                                  <b key="trailing">N</b>
                                  <b key="leading">N</b>
                                </be>
                                <s key="codStile">Style6</s>
                              </be>
                            </l>
                          </val>
                          <key>
                            <s>46524D4F424A-45-464F52----524F5753-464F52-48454144455253-234E2F41</s>
                          </key>
                          <val>
                            <l refId="1161" ln="1">
                              <be refId="1162" clsId="StyleRule">
                                <be key="ruleCondition" refId="1163" clsId="StyleRuleCondition">
                                  <b key="trailing">N</b>
                                  <b key="leading">N</b>
                                </be>
                                <s key="codStile">Style3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164" ln="1">
                              <be refId="1165" clsId="StyleRule">
                                <be key="ruleCondition" refId="1166" clsId="StyleRuleCondition">
                                  <b key="trailing">N</b>
                                  <b key="leading">N</b>
                                </be>
                                <s key="codStile">Style6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1167" ln="1">
                              <be refId="1168" clsId="StyleRule">
                                <be key="ruleCondition" refId="1169" clsId="StyleRuleCondition">
                                  <b key="trailing">N</b>
                                  <b key="leading">N</b>
                                </be>
                                <s key="codStile">Style3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173</s>
                    </key>
                    <val>
                      <be refId="1170" clsId="StyleSheet">
                        <be key="version" refId="1171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bi key="blob" ln="12451">UEsDBBQABgAIAAAAIQC/5XFQcgEAAGYE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slE1PwkAQhu8m/odmr6Zd8GCMoXBQPCqJ+AOW3YFu2K/sLFj+vdPykWigSPDSpp3O+8zbmdnBqLYmW0NE7V3J+kWPZeCkV9otSvY5fc0fWYZJOCWMd1CyDSAbDW9vBtNNAMwo22HJqpTCE+coK7ACCx/AUWTuoxWJHuOCByGXYgH8vtd74NK7BC7lqdFgw8ELzMXKpGxc0+ttJTPtWPa8/a5BlUyEYLQUiQrla6d+QXI/n2sJysuVJekCQwShsAJI1hQhaiLGD0iJjCHjR5kRDF4G3bkqKLMtDCsd8I6snyA0kdOudnnv1I6oFWQTEdObsOSd14Z/+biceb8sukWaX2Mxh1qCKVr/hRUy+rETMwMUE9rtK+wgtZnI21v/D8ifLe/uRuOkFT5TR6JpAt5ery+hlTkDxLQxgP/sdivaRaahnUQfkPYiwuX0/RA22XkgIYhJw2EMjzX5QKSlutouNFurQB1h8/aUGH4D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jYfacOAAAAAtAg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HLasMwEEX3hf6DmH09dgqllMjZlEK2xf0AIY8fxJaEZpLWf1/hgt1ASDbZCK4G3XMkbXc/46BOFLn3TkOR5aDIWV/3rtXwVX08vYJiMa42g3ekYSKGXfn4sP2kwUg6xF0fWKUWxxo6kfCGyLaj0XDmA7k0aXwcjaQYWwzGHkxLuMnzF4z/O6A861T7WkPc18+gqikk8u1u3zS9pXdvjyM5uYBAlmlIF1CViS2Jhr+cJUfAy/jNPfGSnoVW+hxxXotrDsU9Hb59PHBHJKvHssU4TxYZPPvk8hcAAP//AwBQSwMEFAAGAAgAAAAhACAzL9k7AgAAmQQAAA8AAAB4bC93b3JrYm9vay54bWysVMlu2zAQvRfoPwi821osJY4gKYiXogaKIkizXHKhqZHFmotKUrXTov/ekVS1aX1J0V5Ecki+mffeUNnlUQrvMxjLtcpJOA2IB4rpkqtdTu5u30zmxLOOqpIKrSAnT2DJZfH6VXbQZr/Veu8hgLI5qZ1rUt+3rAZJ7VQ3oHCn0kZSh0uz821jgJa2BnBS+FEQnPmSckUGhNS8BENXFWew0qyVoNwAYkBQh+Xbmjd2RJPsJXCSmn3bTJiWDUJsueDuqQclnmTpZqe0oVuBtI9hMiLj9ARacma01ZWbIpQ/FHnCNwz8MBwoF1nFBdwPsnu0ad5T2WURxBPUunXJHZQ5OcOlPsBvAdM2i5YL3A3jOAqIX/y04tp4JVS0Fe4WTRjh8WAyi6KoO4mkroQDo6iDpVYONfyh/r/q1WMva43ueDfwqeUGsCk62YoMv5SldGuvqau91oicLNPHO4v0H7G1PtKp1aoEA7sdmMdnOtNTE/9Caco6yj5yHuoa5n/yL7Kui+85HOwvJbulJ7nikn/pjAixqAeuSn3ICb6Qp2fzQx9+4KWrcxLN5wHuD7G3wHe1w8tRPEv6Up5l6p8BZuxHT/X2f+ieBqbqY5shrUk5TsymDHuE8RqjgqHd3dAfTKIk7E/A0b2zrshwRKV5Tr6GcXB1HlzEk2A9Sybx/CKazONZNFnGq2idnK9X60Xy7f82Nxqejv+HrsqaGndrKNvjX+UGqgW12OwDIawTfRmr9sdbxXcAAAD//wMAUEsDBBQABgAIAAAAIQA7bTJLwQAAAEIBAAAjAAAAeGwvd29ya3NoZWV0cy9fcmVscy9zaGVldDEueG1sLnJlbHOEj8GKwjAURfcD/kN4e5PWhQxDUzciuFXnA2L62gbbl5D3FP17sxxlwOXlcM/lNpv7PKkbZg6RLNS6AoXkYxdosPB72i2/QbE46twUCS08kGHTLr6aA05OSonHkFgVC7GFUST9GMN+xNmxjgmpkD7m2UmJeTDJ+Ysb0Kyqam3yXwe0L0617yzkfVeDOj1SWf7sjn0fPG6jv85I8s+ESTmQYD6iSDnIRe3ygGJB63f2nmt9DgSmbczL8/YJAAD//wMAUEsDBBQABgAIAAAAIQCLgm5YkwYAAI4aAAATAAAAeGwvdGhlbWUvdGhlbWUxLnhtbOxZz4sbNxS+F/o/DHN3/GtmbC/xBntsZ9vsJiHrpOSotWWPspqRGcm7MSFQkmOhUJqWXgq99VDaBhLoJf1rtk1pU8i/0CfN2COt5W6abiAtWcMyo/n09Om9N9+TNBcv3Y2pc4RTTljSdqsXKq6DkxEbk2Tadm8OB6Wm63CBkjGiLMFtd4G5e2n7/fcuoi0R4Rg70D/hW6jtRkLMtsplPoJmxC+wGU7g2YSlMRJwm07L4xQdg92YlmuVSlCOEUlcJ0ExmL02mZARdobSpLu9NN6ncJsILhtGNN2XprHRQ2HHh1WJ4Ase0tQ5QrTtwjhjdjzEd4XrUMQFPGi7FfXnlrcvltFW3omKDX21fgP1l/fLO4wPa2rMdHqwGtTzfC/orOwrABXruH6jH/SDlT0FQKMRzDTjotv0u61uz8+xGii7tNjuNXr1qoHX7NfXOHd8+TPwCpTZ99bwg0EIXjTwCpThfYtPGrXQM/AKlOGDNXyj0ul5DQOvQBElyeEauuIH9XA52xVkwuiOFd7yvUGjlhsvUJANq+ySQ0xYIjblWozusHQAAAmkSJDEEYsZnqARZHGIKDlIibNLphEk3gwljENzpVYZVOrwX/48daU8grYw0npLXsCErzVJPg4fpWQm2u6HYNXVIC+fff/y2RPn5bPHJw+enjz46eThw5MHP2a2jI47KJnqHV98+9mfX3/s/PHkmxePvrDjuY7/9YdPfvn5czsQJlt44fmXj397+vj5V5/+/t0jC7yTogMdPiQx5s5VfOzcYDHMTXnBZI4P0n/WYxghYvRAEdi2mO6LyABeXSBqw3Wx6bxbKQiMDXh5fsfguh+lc0EsI1+JYgO4xxjtstTqgCtyLM3Dw3kytQ+eznXcDYSObGOHKDFC25/PQFmJzWQYYYPmdYoSgaY4wcKRz9ghxpbZ3SbE8OseGaWMs4lwbhOni4jVJUNyYCRS0WmHxBCXhY0ghNrwzd4tp8uobdY9fGQi4YVA1EJ+iKnhxstoLlBsMzlEMdUdvotEZCO5v0hHOq7PBUR6iilz+mPMua3PtRTmqwX9CoiLPex7dBGbyFSQQ5vNXcSYjuyxwzBC8czKmSSRjv2AH0KKIuc6Ezb4HjPfEHkPcUDJxnDfItgI99lCcBN0VadUJIh8Mk8tsbyMmfk+LugEYaUyIPuGmsckOVPaT4m6/07Us6p0WtQ7KbG+WjunpHwT7j8o4D00T65jeGfWC9g7/X6n3+7/Xr83vcvnr9qFUIOGF6t1tXaPNy7dJ4TSfbGgeJer1TuH8jQeQKPaVqi95WorN4vgMt8oGLhpilQfJ2XiIyKi/QjNYIlfVRvRKc9NT7kzYxxW/qpZbYnxKdtq/zCP99g427FWq3J3mokHR6Jor/irdthtiAwdNIpd2Mq82tdO1W55SUD2/ScktMFMEnULicayEaLwdyTUzM6FRcvCoinNL0O1jOLKFUBtFRVYPzmw6mq7vpedBMCmClE8lnHKDgWW0ZXBOddIb3Im1TMAFhPLDCgi3ZJcN05Pzi5LtVeItEFCSzeThJaGERrjPDv1o5PzjHWrCKlBT7pi+TYUNBrNNxFrKSKntIEmulLQxDluu0Hdh9OxEZq13Qns/OEynkHucLnuRXQKx2cjkWYv/Osoyyzlood4lDlciU6mBjEROHUoiduunP4qG2iiNERxq9ZAEN5aci2QlbeNHATdDDKeTPBI6GHXWqSns1tQ+EwrrE9V99cHy55sDuHej8bHzgGdpzcQpJjfqEoHjgmHA6Bq5s0xgRPNlZAV+XeqMOWyqx8pqhzK2hGdRSivKLqYZ3Alois66m7lA+0unzM4dN2FB1NZYP911T27VEvPaaJZ1ExDVWTVtIvpmyvyGquiiBqsMulW2wZeaF1rqXWQqNYqcUbVfYWCoFErBjOoScbrMiw1O281qZ3jgkDzRLDBb6saYfXE61Z+6Hc6a2WBWK4rVeKrTx/61wl2cAfEowfnwHMquAolfHtIESz6spPkTDbgFbkr8jUiXDnzlLTdexW/44U1PyxVmn6/5NW9Sqnpd+qlju/Xq32/Wul1a/ehsIgorvrZZ5cBnEfRRf7xRbWvfYCJl0duF0YsLjP1gaWsiKsPMNXa5g8wDgHRuRfUBq16qxuUWvXOoOT1us1SKwy6pV4QNnqDXug3W4P7rnOkwF6nHnpBv1kKqmFY8oKKpN9slRperdbxGp1m3+vcz5cxMPNMPnJfgHsVr+2/AAAA//8DAFBLAwQUAAYACAAAACEA683Sy5kEAABdFwAAGAAAAHhsL3dvcmtzaGVldHMvc2hlZXQxLnhtbKxYTW/jNhC9F+h/EHhfy/qwkxiWF2mDRXMoUDTb3hmZtoVIokoxm01/fR+HtterEbZmnJuUjN+QM+/NjGb58WtTR1+U6SvdFiKZTEWk2lKvq3ZbiL8+f/pwLaLeynYta92qQryqXnxc/fzT8kWbp36nlI2A0PaF2FnbLeK4L3eqkf1Ed6rFfzbaNNLi1WzjvjNKrulHTR2n0+k8bmTVCo+wMOdg6M2mKtWdLp8b1VoPYlQtLc7f76quP6A15TlwjTRPz92HUjcdIB6rurKvBCqiplzcb1tt5GONe39NclkesOmFwTdVaXSvN3YCuNgflN/5Jr6JgbRarivcwIU9MmpTiNtkcTvPRLxaUoD+rtRLf/IcWfn4oGpVWrVGnkTk4v+o9ZMzvMefpoDsycBBytJWX9Svqq6BDNio/8d78S7io4/V8tvzwd8nytkfJlqrjXyu7Z/65TdVbXcWjmeIgQvFYv16p/oSOYDrSTo7HvxOWrlaGv0SIZ84Z99Jx45kgefxX66WpbO9dcbuJwhBjN8fQdIQEGdciPyaobgYnH0UZ1yIbMpQ8hAUZwyUnKEgiOefxRnjRjcMZR6C4oyBkjKUqxAUZ1yIGY+LqxJnR9cZA4XH5SYExRmDLhwlQQ0LYJ2zJmIPeZeEsdfTN79iEU6CCEzWhUh5jJMgCpM17jXn5wkiMQJM8Rm5VxCNXeVwDKQS952+ccSQfO2ZPHKvIConnstcEEkQl8kaIudRDiJz4tnMyQweBASHrCEtXkODuJx6LvMQp2G12Bdjzpw0iMlkXQhe0tMgIpN1IXgdRfMKCbHnMYoM61NBPE49j1FkGE4Qj9N9TR7J+YDIvn9PrnABu6vKp1+0a+ijXTnDMOGbcrov1iPHHBCc4OeTA/pn3RF6gCuvgRmnHRrxdxka3uTg68fzBaFAHJyP2UAdb4oUgQB+ZPQYqObiSGVeWDPO5WygrDdGys8/c85xDDMhY5TvHXNOnixIc2RdiDkv1lmQ5sgaKRrBCdJc5jWX83KdBTUPskbzGMljUPcAAE2avAbkQe2DrHEenq88qH+QNWYYrjQMoD9U8lk1iUAAP3LMMfpfUpMwrtD0w0WN5PObXOTKiwU5GDaEfCCWi+sHASLPvNLmAz1d7sq3OVQsdquB5C53tZ/oRnI11gkvypXvivuP6dOPVXynvTMt9l2RT5j4DGOu3ORGHffs9js7tnrCw4TOq8hsrD9ef5sk3uJs/7nENYzq/L4RJECwnVejWdAcStbAGclEUFfEh6+rKSmv+rMxoc8CJzYCATxXHCardxijCAX4I2EIaqKYw6hpcblihArZj3gtYrwfVhjMRyE4+4XCyKJlTGhI4v+NtvlRWpikKOVcWpiNuIjzcGmd+PLKwvfFMB6Yn95XWQSIKZ9TjVaOJwuht82hhAL8E6r5baVfMnZyq36XZlu1fVSrDW0iQSrjV5XTCZ6t+wrBE4T1qK3VzeFth020wtZxOkEN2GhtDy8ImsN9UPa5izrZKfNQ/YsFMNihTYV9J62aC9FpY42sLPwtKuxfzf3a17LjYnz1HwAAAP//AwBQSwMEFAAGAAgAAAAhAEonvf2oDgAAnm4AAA0AAAB4bC9zdHlsZXMueG1szF39btvIEf+/QN+BUHDFXVBZpEjqw2c7tWWrDZCmAeKiBXpFQEu0zQtFuhSV2lf0nz5Pn6pP0tkP7s5SuyRlU6JhBJEozs7sb2ZnZ2eWy5N3j6vY+hZm6yhNTnvOkd2zwmSRLqPk7rT35+t5f9Kz1nmQLIM4TcLT3lO47r07+/WvTtb5Uxx+vg/D3IImkvVp7z7PH44Hg/XiPlwF66P0IUzgl9s0WwU5fM3uBuuHLAyWa0K0igdD2x4NVkGU9FgLx6tFk0ZWQfZ189BfpKuHII9uojjKn2hbPWu1OH5/l6RZcBODqI+OFyyKtumXreZX0SJL1+ltfgTNDdLb22gRbks5HUwH0NLZSbJZzVf52lqkmyQ/7Y3EJYv98n4JEI68nsU6PUuXIMaX73/zj02a//i///yXfXhrvfntmzf2lx9+1Pz00/f0x5+0PzL6PvuP0v/uyw+9QSGYIoVflgKzfWthPm+tXRoeNevekV3dQ/i9QSffvavp5tjQzYK96GnBr9TZWgZg/1ibVDswSvSgT9Wb7SP7O3LngBvO2cltmkj7GYKlULs8/pqk/0zm5DcwILAqctvZyfoX61sQwxWHNLJI4zSzchhcYFT0ShKsQnbHLIijmywit90Gqyh+YpeH5AIdj/y+VQSjg0rEOHTEZ7LVH5cCWu6P9SG6u8/rexX8rOnVDel7gaDfkOMzEVR40b4o2tL3rg1e25bRKi+dBWZ3N6e9+Ryct2OzcbBHM+TMpjMb+GltpEWbF8xG/sF65s7d+bjVnim2iOyD944wdOdtQlnDcH4+vjwYnO0zM/WOO+JDjQAy4NpFMcL+cdtOxnPydwg7OfCUtheNbc9oEEjnEYkS+97RdDqZus7EHzqjievZ7lWfzsxy/r4O7tNVoHVlAzxTK8ZIO7L/qAB1jbsQz/O90blqGk17UMwo24C1GtJgoPbMytyjkqXVQ0R1vYYYLopjscpwyTKDXDk7gQVPHmbJHL5Y/PP10wOEgwmszYg+Buy+mrvvsuDJGdKQqBnBOo2jJZHibkaDUG4Hs9HVfHZF+SLJmkphaHQ+n4330OjVxXTWvqSz6bTtRodz+Gu50XOf/LXefVBVa5jyScBrS0jRHvfC9tF4Cm4YHPBkMvVcx/MoyDfcoqNkGT6GsHwftQbTtgQ+SDB1J9PREASxvQlldVAJXBBg7PsT35kOPfhHfe7+JWgbU8htsLm1M60iCTrSKpKgI63SVcugBc/PRwokljrWKpKgI60iCTrS6rhlDwwJuo61iiToSKtIgo60SmPgFscqZEU71iqSoCOtIgk60mprwSf3wJC+7lirSIKOtIokOLRW+bLKn5I/4oa3I7PW4mPO69KeXbHV1v55kYUNW9rswouuUGFNfJNmSyhTFrU3x4f1KLt2dhKHtznAlZFqAfyfpw8EvDTPoah3drKMgrs0CWKyPi4oGlBC2RMqnKe9/D5afAVmSqaF6YGx2BcHMRY9snLxxp499vzhiC0OW2K9CpfRZrXdO8FbOwYARoJtfccRholgwk1PJhgHRH9cfQ0pqKqpphsSgE0UJtGQoo0+ymR70z4iimZ9RAQN+4goWrKiZbqBintZwfP5xLbpCnNne9E3WI1mLc02nrUkGkRradqwm4sh+aOReMOxgSia2Q0iaGg3iOJ5dqMdeEripx5v5fYXQS0KOLV5+tqxu0NTUjm7TFFVyDUoNOynAy8Vqs7sdkB1V0NYBrAJiWS02aRe5LNJiY0m7fcLWC133TCok/gQENQKrnGxdXIfoq8Qwm2FHzIabTo1I4pmLhYRNHSxiKJKnzyMhah4EcbxZxKn/vVWbktzwbAfb9FuMHARpIpItqeRj1A+4h9ZGMy+gD9SiJwR3VvFyBwjmRU8PMRPZO8SbZx9Aw7y2wWN3OX38zi6S1YhJviUpXm4yOkeRDoAS5LQzWyvQhK6++1VSEK3Gb4CSeiet1cgBzLyYY21ftysbsJsTnem7s1qkTyuQR4YVXS8NJFn51GD+BNT0Q16wOkg/Mnw1fEHXDrlDxA15v9iL4b0QZwIxwNUgJ1wlTxtSkBcO5cAlNCFBGRfLZcAzLMLCYjj4hKAgUoJQJwKq3jJOHTQ7As2IFkC/32xRDO3wnKPvTS5X+B/kOHuIH8Lhi5hhi/7gtnkYrtyMUjtMNIkBPClSgdKGPciUzf5/M4AQU4XZJCIgBs4jFUinws8u/B4yCiIK+paBBCnExGQIpyO5l8Hy9DRDIytoaMpGIugzMHVXqLNSEjRhDJDdiSDMmMdUAYZDTnKjNGNCF15SDQuh125SCxDVz4SrVC6cpFIhK48JNZEVy4Sy9CVj0Sq6MpFIhG68pBYE125SCxD91Gk230U6b6CKNLtykWiJIqr+EgI789O4KFglmi37tMs+gXWduRp4gVk3sOsRx76z6MFukL2xzzemksHQ2Ma0xQitC6Cg3I2bskhm5iRAvpzeotyNSUr35GTRR4uINUOtheiCmLcP4UprFPa6B88/iBLQbD7XyYBFTArrIdWvprCqbIzAbp3bq4ybcLT9CYoX9A5U87L8VriRtDjNTwSmGrz6e0hiYo6HZpJSXFmn7aj4nDvjIpryUyQ3si6Sq+3mkJIRXG1NkfXvg/Gk446sqqXimqNeOc1/CuYz1iicH+QD3A5nxX3cV2fuJLd6/rW462+wG+wzK1AgjfgjdsPKaoSkkxsOCOlvDEBy42SFuX1GaenTz6YUMP8yxE9o4fQrhn/YTkG5PT0KakG/IflhRWj97a3Q+j7vxWKc/rG+JXjaI4ffXavCX7ltSmnpxvZm9CXVzMcP3qeSRP8yjkCTk+fZzLSVxQFuPzV+q8o+zB6iOiq7Kcini2G3bSVyK9J+AD3MKF980xriKbrYtzGkWAhAdnDpF+/tBOBbsWEBeO24jVl91RFQZKbib4uR1cMivHi3TYoDCxXk3mr+rrydqvN1wUFTOb1yI76wZvMKmrVvEP6EvJ2h7CPRBGeMkdAW7zVoi5MDlbgyzSTx6jYtsAb23ZYBp2V67Lc4eiDqGKrEAuiKu3CFNGCGHx484pn0RYLa4qArBLM2rYLBZlbU/YVmvahkJPRaNhCCnSa8mwBRxUbvEEOVaOVeRra4fOkFpPCIHZAqGJXCe/R9ozsjJqutwoNmmOxFww/Y25RaMPTL1SaaANvnKzVRsFGtdBnaANxKu/x4doohlvTxo0z2dZitdDVpK2pDLtKY1VA6MrVb2xooiu83bZWV8UA3ZuuwBiYrooONXDTpgyJCHF0u4xN+CqRscTXNLnWOQt1Y3UtvmXPz5p/xlhAsaoyFkCBDN8iBmmArzkRSzZfseZGYmjR/IXoB59ktxbT5oTLLilcdXxWpOWK4UkeJG0l0jSYD9lgoGwuZOiQusWzJjYU2qCwUk3EFCqoC2zohsQGWcUCK3IUVQtY4egMzZdwWQJFJn4errRjGHgFVFXJ4PGA2WvvVkBR5/aKbGPRW/N6b6ep3YCxOksJdzjSexkZXu1ptBpyGXqP6xUet2Fwad5kJZz4sBgh6hb8+kkSCW7azS1iS6g47BJi1xsnPAN+UH0QlDQuzGsSS5i8ohKGw0189WNa4O02qaLoyCnveubut3qZVWVhODrCYZjivmSYAJ+euYAxxSPKKlZA55pSCM+GbqisUOUi4PlLMgN0av1cMmrdGJQco3QCz13VYO9VHyfrAyDF0mgBAFL+6ME+9bE+USCwyOGhp72h/Z3Vt84XZE4S/oacK36ziWI4y4Vk/iEzDCnIKkox1VKNI0q6VK2iFMEeVSGiZIduFk8naqSVA4QMUEnJzuWr4glI8zmajDhESVPtVZQi4+OpCEG+U4OQp8WWBFqon+zg3FI/MaXElhgfomRHkldQSmxJahtR0pRyuZ+Yp8SWOG6EEDuavIKnxJZMwYiSptGreEpsVYR8LUIjLbaqJbDSS5knphTY0uIHQkhrCZhSYqtaAiu3VPGU2BLviBDSjhXMU2JL5j5EqR0rmFJiqyLk0+JEWdqyN1CtZ6i1HkYjbVW1GygJasYHo5FIqhbjai2G0ShraIyE1lYYjUCP5DUwjXYcMRqJm4qBp8XgIljirCPiAfGPpv/w0oXFJoZ3kKTkDSYsW6nqB2qCOrr7cPHVmsEoFGSqKcFGKx1ZuoIjogtGqkcw3m/9zf67iK0UGu0QmW2yDF7/8lSQlGDTsuEkmJM6prTgXT0+xEES5Gn2ZF2Hj7kQUrUiXwvF79NUqkolgDKqBrs/wGtn4I02lpgiVfuGGLGCCOdHkFHA6qKCCCetMJF2rBfiiXFBn86RHoIVEcvj/H3ysBG4wT4jPCpgi5BGuA9R8jVcqqanIsHK7WVOH8NNngXSXEseRdunj+TpakGiztRa4T7CEQDCCtT7AQ5Nb/60yTEA6rTDjrYtd+RTmJFISWQWFMy0joQermB/IRoimyZ54KFVPb1VWJinRYXdI5bdfkVDoiW/oiWZJNG6NMYOZ+Q0OLKbhO1BKsB4k3DC7BSyMry0JSGS3svSe4RE+siL3iME0kcQ9B4hj34mpPeISUDvS+g9YhHla2dxeg/4aJ6PMhuKLLFpPcp1lMMxWUV6VDE+OM9Og/p1Clt2xaBQwwZ2gHtZBX8JsoR4OuxTSbIW+yC2D1VQwmpj+SiPD6FjLSev0KLdFusPMNpleBts4vxa/Hjak5//SI+SAxn5XZ+ib2lOmzjtyc/0jT7c35Kz5IH5KtvQY+XJqgcfLy8PQ1Euy7cPKJflSYbKZXmY4gDxGdB7gCHMPB/WcPYc/G9tsui096+ri/H08mo+7E/si0nfc0O/P/UvLvu+N7u4vJxP7aE9+zeohLzz7Bje3vSCd4rRd5/Bli7HO17H8OaxjAPOAfwsr5320BcGITGXAYiNZZ8OR/a579j9uWs7fW8UTPqTkev3574zvBx5F1f+3Eey+8+T3bEHjsNe3EaE94/zaBXGUVLYS2El+CoYCnyt6ATpCtXEYC1eLHf2fwAAAP//AwBQSwMEFAAGAAgAAAAhADgHfaBTAQAAiQ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ySX0/DIBTF3038Dg3vLdCpc6TtEv/sySUmq9H4RuCuq7aUANrt20vbrc7MRB/hnPvjnBuS+baugk8wtmxUimhEUABKNLJURYqe8kV4jQLruJK8ahSkaAcWzbPzs0RoJhoDj6bRYFwJNvAkZZnQKdo4pxnGVmyg5jbyDuXFdWNq7vzRFFhz8c4LwDEhV7gGxyV3HHfAUI9EtEdKMSL1h6l6gBQYKqhBOYtpRPG314Gp7a8DvXLkrEu3077TPu4xW4pBHN1bW47Gtm2jdtLH8Pkpflk+rPqqYam6XQlAWSIFEwa4a0yWc/XGg1WjJBgoCjBBGNxvfRrFqwQfGbulVty6pd//ugR5s/tj9tTv3+1rDo+DDHxwNtQ8KM+T27t8gbKY0GlIZiG5yMmMXc5YPH3t4vyY74oMF/U+1D+IlPZEwmh8RDwAsgSffJ7sCwAA//8DAFBLAwQUAAYACAAAACEAek+mBk8BAAC4FwAAJwAAAHhsL3ByaW50ZXJTZXR0aW5ncy9wcmludGVyU2V0dGluZ3MxLmJpbuyYwUrDQBCG/ySCVQ/ePHjypl5ahV5MT6VBQWoNmEIPuQQTMZA2JV3MTfA1fBofpA9QfIn037U9CEFF9FJml8zuzvw7S74QWGaICVL4KGgnUDjCCe4Q4QkJ5z48XOLUeAt6Yqr0eE9lAt2srRhzzA+c6gUWdvC6127EnO1jZNscR7ZDVRdto/5bY3+T7ngVXzgLZ/sfzpeUQuC3BDy/163bW5Zls/Oo1NRttToPaZbocRylmcpd45+ZgIkLfSEgBISAEBACQkAI/ITAW1VVWmfxqbuArO/UOq5bbLSW0ecN4H1XOAsBIbCJBOr+ffnSQkAICAEh8DWBHlyEGGLGumhBGyLg/WqAa9pnnKPJquot1yHXU3aPNVbFJ0QfOeupETKzJ8GY0RAXq0hpsn6u0epzdGW2jytmDdgHzB/ghl5pm03g8Ozj/ZYAAAD//wMAUEsDBBQABgAIAAAAIQCtaqdRlQEAABs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SzW7bMBCE7wX6DgLvMeX0B4VBMTDstinaIgakJGeWWllEKJLgbgS7T19Kgh257Sm33dnB8OOS4ubQ2ayHiMa7gi0XOcvAaV8bty/YffXl6hPLkJSrlfUOCnYEZDfy7Ruxiz5AJAOYpQiHBWuJwopz1C10Chdp7NKk8bFTlNq4575pjIat188dOOLXef6Rw4HA1VBfhXMgmxJXPb02tPZ64MOH6hgSsBTrEKzRitIt5U+jo0ffUPb5oMEKPh+KRFeCfo6GjjIXfN6KUisLmxQsG2URBH8RxC2oYWk7ZSJK0dOqB00+Zmh+p7Vds+yXQhhwCtaraJSjhDXYpmasbUCK8tHHJ2wBCAVPhkkcy7l3Xpv3cjkaUnFpHAImkDS4RKwMWcC7Zqci/Yd4OSceGSbeCacc+KYz53zjldNJf2VvfBeUO8ry+7ftulpn66+CnzTxw7gnvA+V3yqC02IvRVG2KkKd3uK8+LMgbtNOox1CNq1ye6hPnn8Hwzd4mP66XH5Y5O/y9MIzTfCXXy3/AAAA//8DAFBLAQItABQABgAIAAAAIQC/5XFQcgEAAGYEAAATAAAAAAAAAAAAAAAAAAAAAABbQ29udGVudF9UeXBlc10ueG1sUEsBAi0AFAAGAAgAAAAhALVVMCP0AAAATAIAAAsAAAAAAAAAAAAAAAAAqwMAAF9yZWxzLy5yZWxzUEsBAi0AFAAGAAgAAAAhAI2H2nDgAAAALQIAABoAAAAAAAAAAAAAAAAA0AYAAHhsL19yZWxzL3dvcmtib29rLnhtbC5yZWxzUEsBAi0AFAAGAAgAAAAhACAzL9k7AgAAmQQAAA8AAAAAAAAAAAAAAAAA8AgAAHhsL3dvcmtib29rLnhtbFBLAQItABQABgAIAAAAIQA7bTJLwQAAAEIBAAAjAAAAAAAAAAAAAAAAAFgLAAB4bC93b3Jrc2hlZXRzL19yZWxzL3NoZWV0MS54bWwucmVsc1BLAQItABQABgAIAAAAIQCLgm5YkwYAAI4aAAATAAAAAAAAAAAAAAAAAFoMAAB4bC90aGVtZS90aGVtZTEueG1sUEsBAi0AFAAGAAgAAAAhAOvN0suZBAAAXRcAABgAAAAAAAAAAAAAAAAAHhMAAHhsL3dvcmtzaGVldHMvc2hlZXQxLnhtbFBLAQItABQABgAIAAAAIQBKJ739qA4AAJ5uAAANAAAAAAAAAAAAAAAAAO0XAAB4bC9zdHlsZXMueG1sUEsBAi0AFAAGAAgAAAAhADgHfaBTAQAAiQIAABEAAAAAAAAAAAAAAAAAwCYAAGRvY1Byb3BzL2NvcmUueG1sUEsBAi0AFAAGAAgAAAAhAHpPpgZPAQAAuBcAACcAAAAAAAAAAAAAAAAASikAAHhsL3ByaW50ZXJTZXR0aW5ncy9wcmludGVyU2V0dGluZ3MxLmJpblBLAQItABQABgAIAAAAIQCtaqdRlQEAABsDAAAQAAAAAAAAAAAAAAAAAN4qAABkb2NQcm9wcy9hcHAueG1sUEsFBgAAAAALAAsA5AIAAKktAAAAAA==</bi>
                        <ref key="applyFirst" refId="1124"/>
                        <m key="rules" refId="1172" keid="SYS_STR" veid="System.Collections.IList">
                          <key>
                            <s>46524D4F424A-45-535542----524F5753-535542-56414C554553-234E2F41</s>
                          </key>
                          <val>
                            <l refId="1173" ln="1">
                              <be refId="1174" clsId="StyleRule">
                                <be key="ruleCondition" refId="1175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176" ln="1">
                              <be refId="1177" clsId="StyleRule">
                                <be key="ruleCondition" refId="1178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1179" ln="1">
                              <be refId="1180" clsId="StyleRule">
                                <be key="ruleCondition" refId="1181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188</s>
                    </key>
                    <val>
                      <be refId="1182" clsId="StyleSheet">
                        <be key="version" refId="1183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24"/>
                        <m key="rules" refId="1184" keid="SYS_STR" veid="System.Collections.IList">
                          <key>
                            <s>46524D4F424A-45-48454144455253----524F5753-234E2F41-48454144455253-234E2F41</s>
                          </key>
                          <val>
                            <l refId="1185" ln="1">
                              <be refId="1186" clsId="StyleRule">
                                <be key="ruleCondition" refId="1187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188" ln="1">
                              <be refId="1189" clsId="StyleRule">
                                <be key="ruleCondition" refId="1190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185</s>
                    </key>
                    <val>
                      <be refId="1191" clsId="StyleSheet">
                        <be key="version" refId="1192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24"/>
                        <m key="rules" refId="1193" keid="SYS_STR" veid="System.Collections.IList">
                          <key>
                            <s>46524D4F424A-45-48454144455253----524F5753-234E2F41-48454144455253-234E2F41</s>
                          </key>
                          <val>
                            <l refId="1194" ln="1">
                              <be refId="1195" clsId="StyleRule">
                                <be key="ruleCondition" refId="1196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  <key>
                            <s>46524D4F424A-45-504C48----524F5753-504C48-56414C554553-234E2F41</s>
                          </key>
                          <val>
                            <l refId="1197" ln="1">
                              <be refId="1198" clsId="StyleRule">
                                <be key="ruleCondition" refId="1199" clsId="StyleRuleCondition">
                                  <b key="trailing">N</b>
                                  <b key="leading">N</b>
                                </be>
                                <s key="codStile">Style10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200" ln="1">
                              <be refId="1201" clsId="StyleRule">
                                <be key="ruleCondition" refId="1202" clsId="StyleRuleCondition">
                                  <b key="trailing">N</b>
                                  <b key="leading">N</b>
                                </be>
                                <s key="codStile">Style10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186</s>
                    </key>
                    <val>
                      <be refId="1203" clsId="StyleSheet">
                        <be key="version" refId="1204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24"/>
                        <m key="rules" refId="1205" keid="SYS_STR" veid="System.Collections.IList">
                          <key>
                            <s>46524D4F424A-45-535542----524F5753-535542-56414C554553-234E2F41</s>
                          </key>
                          <val>
                            <l refId="1206" ln="1">
                              <be refId="1207" clsId="StyleRule">
                                <be key="ruleCondition" refId="1208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209" ln="1">
                              <be refId="1210" clsId="StyleRule">
                                <be key="ruleCondition" refId="1211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1212" ln="1">
                              <be refId="1213" clsId="StyleRule">
                                <be key="ruleCondition" refId="1214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177</s>
                    </key>
                    <val>
                      <be refId="1215" clsId="StyleSheet">
                        <be key="version" refId="1216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bi key="blob" ln="12451">UEsDBBQABgAIAAAAIQC/5XFQcgEAAGYE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slE1PwkAQhu8m/odmr6Zd8GCMoXBQPCqJ+AOW3YFu2K/sLFj+vdPykWigSPDSpp3O+8zbmdnBqLYmW0NE7V3J+kWPZeCkV9otSvY5fc0fWYZJOCWMd1CyDSAbDW9vBtNNAMwo22HJqpTCE+coK7ACCx/AUWTuoxWJHuOCByGXYgH8vtd74NK7BC7lqdFgw8ELzMXKpGxc0+ttJTPtWPa8/a5BlUyEYLQUiQrla6d+QXI/n2sJysuVJekCQwShsAJI1hQhaiLGD0iJjCHjR5kRDF4G3bkqKLMtDCsd8I6snyA0kdOudnnv1I6oFWQTEdObsOSd14Z/+biceb8sukWaX2Mxh1qCKVr/hRUy+rETMwMUE9rtK+wgtZnI21v/D8ifLe/uRuOkFT5TR6JpAt5ery+hlTkDxLQxgP/sdivaRaahnUQfkPYiwuX0/RA22XkgIYhJw2EMjzX5QKSlutouNFurQB1h8/aUGH4D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jYfacOAAAAAtAg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HLasMwEEX3hf6DmH09dgqllMjZlEK2xf0AIY8fxJaEZpLWf1/hgt1ASDbZCK4G3XMkbXc/46BOFLn3TkOR5aDIWV/3rtXwVX08vYJiMa42g3ekYSKGXfn4sP2kwUg6xF0fWKUWxxo6kfCGyLaj0XDmA7k0aXwcjaQYWwzGHkxLuMnzF4z/O6A861T7WkPc18+gqikk8u1u3zS9pXdvjyM5uYBAlmlIF1CViS2Jhr+cJUfAy/jNPfGSnoVW+hxxXotrDsU9Hb59PHBHJKvHssU4TxYZPPvk8hcAAP//AwBQSwMEFAAGAAgAAAAhACAzL9k7AgAAmQQAAA8AAAB4bC93b3JrYm9vay54bWysVMlu2zAQvRfoPwi821osJY4gKYiXogaKIkizXHKhqZHFmotKUrXTov/ekVS1aX1J0V5Ecki+mffeUNnlUQrvMxjLtcpJOA2IB4rpkqtdTu5u30zmxLOOqpIKrSAnT2DJZfH6VXbQZr/Veu8hgLI5qZ1rUt+3rAZJ7VQ3oHCn0kZSh0uz821jgJa2BnBS+FEQnPmSckUGhNS8BENXFWew0qyVoNwAYkBQh+Xbmjd2RJPsJXCSmn3bTJiWDUJsueDuqQclnmTpZqe0oVuBtI9hMiLj9ARacma01ZWbIpQ/FHnCNwz8MBwoF1nFBdwPsnu0ad5T2WURxBPUunXJHZQ5OcOlPsBvAdM2i5YL3A3jOAqIX/y04tp4JVS0Fe4WTRjh8WAyi6KoO4mkroQDo6iDpVYONfyh/r/q1WMva43ueDfwqeUGsCk62YoMv5SldGuvqau91oicLNPHO4v0H7G1PtKp1aoEA7sdmMdnOtNTE/9Caco6yj5yHuoa5n/yL7Kui+85HOwvJbulJ7nikn/pjAixqAeuSn3ICb6Qp2fzQx9+4KWrcxLN5wHuD7G3wHe1w8tRPEv6Up5l6p8BZuxHT/X2f+ieBqbqY5shrUk5TsymDHuE8RqjgqHd3dAfTKIk7E/A0b2zrshwRKV5Tr6GcXB1HlzEk2A9Sybx/CKazONZNFnGq2idnK9X60Xy7f82Nxqejv+HrsqaGndrKNvjX+UGqgW12OwDIawTfRmr9sdbxXcAAAD//wMAUEsDBBQABgAIAAAAIQA7bTJLwQAAAEIBAAAjAAAAeGwvd29ya3NoZWV0cy9fcmVscy9zaGVldDEueG1sLnJlbHOEj8GKwjAURfcD/kN4e5PWhQxDUzciuFXnA2L62gbbl5D3FP17sxxlwOXlcM/lNpv7PKkbZg6RLNS6AoXkYxdosPB72i2/QbE46twUCS08kGHTLr6aA05OSonHkFgVC7GFUST9GMN+xNmxjgmpkD7m2UmJeTDJ+Ysb0Kyqam3yXwe0L0617yzkfVeDOj1SWf7sjn0fPG6jv85I8s+ESTmQYD6iSDnIRe3ygGJB63f2nmt9DgSmbczL8/YJAAD//wMAUEsDBBQABgAIAAAAIQCLgm5YkwYAAI4aAAATAAAAeGwvdGhlbWUvdGhlbWUxLnhtbOxZz4sbNxS+F/o/DHN3/GtmbC/xBntsZ9vsJiHrpOSotWWPspqRGcm7MSFQkmOhUJqWXgq99VDaBhLoJf1rtk1pU8i/0CfN2COt5W6abiAtWcMyo/n09Om9N9+TNBcv3Y2pc4RTTljSdqsXKq6DkxEbk2Tadm8OB6Wm63CBkjGiLMFtd4G5e2n7/fcuoi0R4Rg70D/hW6jtRkLMtsplPoJmxC+wGU7g2YSlMRJwm07L4xQdg92YlmuVSlCOEUlcJ0ExmL02mZARdobSpLu9NN6ncJsILhtGNN2XprHRQ2HHh1WJ4Ase0tQ5QrTtwjhjdjzEd4XrUMQFPGi7FfXnlrcvltFW3omKDX21fgP1l/fLO4wPa2rMdHqwGtTzfC/orOwrABXruH6jH/SDlT0FQKMRzDTjotv0u61uz8+xGii7tNjuNXr1qoHX7NfXOHd8+TPwCpTZ99bwg0EIXjTwCpThfYtPGrXQM/AKlOGDNXyj0ul5DQOvQBElyeEauuIH9XA52xVkwuiOFd7yvUGjlhsvUJANq+ySQ0xYIjblWozusHQAAAmkSJDEEYsZnqARZHGIKDlIibNLphEk3gwljENzpVYZVOrwX/48daU8grYw0npLXsCErzVJPg4fpWQm2u6HYNXVIC+fff/y2RPn5bPHJw+enjz46eThw5MHP2a2jI47KJnqHV98+9mfX3/s/PHkmxePvrDjuY7/9YdPfvn5czsQJlt44fmXj397+vj5V5/+/t0jC7yTogMdPiQx5s5VfOzcYDHMTXnBZI4P0n/WYxghYvRAEdi2mO6LyABeXSBqw3Wx6bxbKQiMDXh5fsfguh+lc0EsI1+JYgO4xxjtstTqgCtyLM3Dw3kytQ+eznXcDYSObGOHKDFC25/PQFmJzWQYYYPmdYoSgaY4wcKRz9ghxpbZ3SbE8OseGaWMs4lwbhOni4jVJUNyYCRS0WmHxBCXhY0ghNrwzd4tp8uobdY9fGQi4YVA1EJ+iKnhxstoLlBsMzlEMdUdvotEZCO5v0hHOq7PBUR6iilz+mPMua3PtRTmqwX9CoiLPex7dBGbyFSQQ5vNXcSYjuyxwzBC8czKmSSRjv2AH0KKIuc6Ezb4HjPfEHkPcUDJxnDfItgI99lCcBN0VadUJIh8Mk8tsbyMmfk+LugEYaUyIPuGmsckOVPaT4m6/07Us6p0WtQ7KbG+WjunpHwT7j8o4D00T65jeGfWC9g7/X6n3+7/Xr83vcvnr9qFUIOGF6t1tXaPNy7dJ4TSfbGgeJer1TuH8jQeQKPaVqi95WorN4vgMt8oGLhpilQfJ2XiIyKi/QjNYIlfVRvRKc9NT7kzYxxW/qpZbYnxKdtq/zCP99g427FWq3J3mokHR6Jor/irdthtiAwdNIpd2Mq82tdO1W55SUD2/ScktMFMEnULicayEaLwdyTUzM6FRcvCoinNL0O1jOLKFUBtFRVYPzmw6mq7vpedBMCmClE8lnHKDgWW0ZXBOddIb3Im1TMAFhPLDCgi3ZJcN05Pzi5LtVeItEFCSzeThJaGERrjPDv1o5PzjHWrCKlBT7pi+TYUNBrNNxFrKSKntIEmulLQxDluu0Hdh9OxEZq13Qns/OEynkHucLnuRXQKx2cjkWYv/Osoyyzlood4lDlciU6mBjEROHUoiduunP4qG2iiNERxq9ZAEN5aci2QlbeNHATdDDKeTPBI6GHXWqSns1tQ+EwrrE9V99cHy55sDuHej8bHzgGdpzcQpJjfqEoHjgmHA6Bq5s0xgRPNlZAV+XeqMOWyqx8pqhzK2hGdRSivKLqYZ3Alois66m7lA+0unzM4dN2FB1NZYP911T27VEvPaaJZ1ExDVWTVtIvpmyvyGquiiBqsMulW2wZeaF1rqXWQqNYqcUbVfYWCoFErBjOoScbrMiw1O281qZ3jgkDzRLDBb6saYfXE61Z+6Hc6a2WBWK4rVeKrTx/61wl2cAfEowfnwHMquAolfHtIESz6spPkTDbgFbkr8jUiXDnzlLTdexW/44U1PyxVmn6/5NW9Sqnpd+qlju/Xq32/Wul1a/ehsIgorvrZZ5cBnEfRRf7xRbWvfYCJl0duF0YsLjP1gaWsiKsPMNXa5g8wDgHRuRfUBq16qxuUWvXOoOT1us1SKwy6pV4QNnqDXug3W4P7rnOkwF6nHnpBv1kKqmFY8oKKpN9slRperdbxGp1m3+vcz5cxMPNMPnJfgHsVr+2/AAAA//8DAFBLAwQUAAYACAAAACEA683Sy5kEAABdFwAAGAAAAHhsL3dvcmtzaGVldHMvc2hlZXQxLnhtbKxYTW/jNhC9F+h/EHhfy/qwkxiWF2mDRXMoUDTb3hmZtoVIokoxm01/fR+HtterEbZmnJuUjN+QM+/NjGb58WtTR1+U6SvdFiKZTEWk2lKvq3ZbiL8+f/pwLaLeynYta92qQryqXnxc/fzT8kWbp36nlI2A0PaF2FnbLeK4L3eqkf1Ed6rFfzbaNNLi1WzjvjNKrulHTR2n0+k8bmTVCo+wMOdg6M2mKtWdLp8b1VoPYlQtLc7f76quP6A15TlwjTRPz92HUjcdIB6rurKvBCqiplzcb1tt5GONe39NclkesOmFwTdVaXSvN3YCuNgflN/5Jr6JgbRarivcwIU9MmpTiNtkcTvPRLxaUoD+rtRLf/IcWfn4oGpVWrVGnkTk4v+o9ZMzvMefpoDsycBBytJWX9Svqq6BDNio/8d78S7io4/V8tvzwd8nytkfJlqrjXyu7Z/65TdVbXcWjmeIgQvFYv16p/oSOYDrSTo7HvxOWrlaGv0SIZ84Z99Jx45kgefxX66WpbO9dcbuJwhBjN8fQdIQEGdciPyaobgYnH0UZ1yIbMpQ8hAUZwyUnKEgiOefxRnjRjcMZR6C4oyBkjKUqxAUZ1yIGY+LqxJnR9cZA4XH5SYExRmDLhwlQQ0LYJ2zJmIPeZeEsdfTN79iEU6CCEzWhUh5jJMgCpM17jXn5wkiMQJM8Rm5VxCNXeVwDKQS952+ccSQfO2ZPHKvIConnstcEEkQl8kaIudRDiJz4tnMyQweBASHrCEtXkODuJx6LvMQp2G12Bdjzpw0iMlkXQhe0tMgIpN1IXgdRfMKCbHnMYoM61NBPE49j1FkGE4Qj9N9TR7J+YDIvn9PrnABu6vKp1+0a+ijXTnDMOGbcrov1iPHHBCc4OeTA/pn3RF6gCuvgRmnHRrxdxka3uTg68fzBaFAHJyP2UAdb4oUgQB+ZPQYqObiSGVeWDPO5WygrDdGys8/c85xDDMhY5TvHXNOnixIc2RdiDkv1lmQ5sgaKRrBCdJc5jWX83KdBTUPskbzGMljUPcAAE2avAbkQe2DrHEenq88qH+QNWYYrjQMoD9U8lk1iUAAP3LMMfpfUpMwrtD0w0WN5PObXOTKiwU5GDaEfCCWi+sHASLPvNLmAz1d7sq3OVQsdquB5C53tZ/oRnI11gkvypXvivuP6dOPVXynvTMt9l2RT5j4DGOu3ORGHffs9js7tnrCw4TOq8hsrD9ef5sk3uJs/7nENYzq/L4RJECwnVejWdAcStbAGclEUFfEh6+rKSmv+rMxoc8CJzYCATxXHCardxijCAX4I2EIaqKYw6hpcblihArZj3gtYrwfVhjMRyE4+4XCyKJlTGhI4v+NtvlRWpikKOVcWpiNuIjzcGmd+PLKwvfFMB6Yn95XWQSIKZ9TjVaOJwuht82hhAL8E6r5baVfMnZyq36XZlu1fVSrDW0iQSrjV5XTCZ6t+wrBE4T1qK3VzeFth020wtZxOkEN2GhtDy8ImsN9UPa5izrZKfNQ/YsFMNihTYV9J62aC9FpY42sLPwtKuxfzf3a17LjYnz1HwAAAP//AwBQSwMEFAAGAAgAAAAhAEonvf2oDgAAnm4AAA0AAAB4bC9zdHlsZXMueG1szF39btvIEf+/QN+BUHDFXVBZpEjqw2c7tWWrDZCmAeKiBXpFQEu0zQtFuhSV2lf0nz5Pn6pP0tkP7s5SuyRlU6JhBJEozs7sb2ZnZ2eWy5N3j6vY+hZm6yhNTnvOkd2zwmSRLqPk7rT35+t5f9Kz1nmQLIM4TcLT3lO47r07+/WvTtb5Uxx+vg/D3IImkvVp7z7PH44Hg/XiPlwF66P0IUzgl9s0WwU5fM3uBuuHLAyWa0K0igdD2x4NVkGU9FgLx6tFk0ZWQfZ189BfpKuHII9uojjKn2hbPWu1OH5/l6RZcBODqI+OFyyKtumXreZX0SJL1+ltfgTNDdLb22gRbks5HUwH0NLZSbJZzVf52lqkmyQ/7Y3EJYv98n4JEI68nsU6PUuXIMaX73/zj02a//i///yXfXhrvfntmzf2lx9+1Pz00/f0x5+0PzL6PvuP0v/uyw+9QSGYIoVflgKzfWthPm+tXRoeNevekV3dQ/i9QSffvavp5tjQzYK96GnBr9TZWgZg/1ibVDswSvSgT9Wb7SP7O3LngBvO2cltmkj7GYKlULs8/pqk/0zm5DcwILAqctvZyfoX61sQwxWHNLJI4zSzchhcYFT0ShKsQnbHLIijmywit90Gqyh+YpeH5AIdj/y+VQSjg0rEOHTEZ7LVH5cCWu6P9SG6u8/rexX8rOnVDel7gaDfkOMzEVR40b4o2tL3rg1e25bRKi+dBWZ3N6e9+Ryct2OzcbBHM+TMpjMb+GltpEWbF8xG/sF65s7d+bjVnim2iOyD944wdOdtQlnDcH4+vjwYnO0zM/WOO+JDjQAy4NpFMcL+cdtOxnPydwg7OfCUtheNbc9oEEjnEYkS+97RdDqZus7EHzqjievZ7lWfzsxy/r4O7tNVoHVlAzxTK8ZIO7L/qAB1jbsQz/O90blqGk17UMwo24C1GtJgoPbMytyjkqXVQ0R1vYYYLopjscpwyTKDXDk7gQVPHmbJHL5Y/PP10wOEgwmszYg+Buy+mrvvsuDJGdKQqBnBOo2jJZHibkaDUG4Hs9HVfHZF+SLJmkphaHQ+n4330OjVxXTWvqSz6bTtRodz+Gu50XOf/LXefVBVa5jyScBrS0jRHvfC9tF4Cm4YHPBkMvVcx/MoyDfcoqNkGT6GsHwftQbTtgQ+SDB1J9PREASxvQlldVAJXBBg7PsT35kOPfhHfe7+JWgbU8htsLm1M60iCTrSKpKgI63SVcugBc/PRwokljrWKpKgI60iCTrS6rhlDwwJuo61iiToSKtIgo60SmPgFscqZEU71iqSoCOtIgk60mprwSf3wJC+7lirSIKOtIokOLRW+bLKn5I/4oa3I7PW4mPO69KeXbHV1v55kYUNW9rswouuUGFNfJNmSyhTFrU3x4f1KLt2dhKHtznAlZFqAfyfpw8EvDTPoah3drKMgrs0CWKyPi4oGlBC2RMqnKe9/D5afAVmSqaF6YGx2BcHMRY9snLxxp499vzhiC0OW2K9CpfRZrXdO8FbOwYARoJtfccRholgwk1PJhgHRH9cfQ0pqKqpphsSgE0UJtGQoo0+ymR70z4iimZ9RAQN+4goWrKiZbqBintZwfP5xLbpCnNne9E3WI1mLc02nrUkGkRradqwm4sh+aOReMOxgSia2Q0iaGg3iOJ5dqMdeEripx5v5fYXQS0KOLV5+tqxu0NTUjm7TFFVyDUoNOynAy8Vqs7sdkB1V0NYBrAJiWS02aRe5LNJiY0m7fcLWC133TCok/gQENQKrnGxdXIfoq8Qwm2FHzIabTo1I4pmLhYRNHSxiKJKnzyMhah4EcbxZxKn/vVWbktzwbAfb9FuMHARpIpItqeRj1A+4h9ZGMy+gD9SiJwR3VvFyBwjmRU8PMRPZO8SbZx9Aw7y2wWN3OX38zi6S1YhJviUpXm4yOkeRDoAS5LQzWyvQhK6++1VSEK3Gb4CSeiet1cgBzLyYY21ftysbsJsTnem7s1qkTyuQR4YVXS8NJFn51GD+BNT0Q16wOkg/Mnw1fEHXDrlDxA15v9iL4b0QZwIxwNUgJ1wlTxtSkBcO5cAlNCFBGRfLZcAzLMLCYjj4hKAgUoJQJwKq3jJOHTQ7As2IFkC/32xRDO3wnKPvTS5X+B/kOHuIH8Lhi5hhi/7gtnkYrtyMUjtMNIkBPClSgdKGPciUzf5/M4AQU4XZJCIgBs4jFUinws8u/B4yCiIK+paBBCnExGQIpyO5l8Hy9DRDIytoaMpGIugzMHVXqLNSEjRhDJDdiSDMmMdUAYZDTnKjNGNCF15SDQuh125SCxDVz4SrVC6cpFIhK48JNZEVy4Sy9CVj0Sq6MpFIhG68pBYE125SCxD91Gk230U6b6CKNLtykWiJIqr+EgI789O4KFglmi37tMs+gXWduRp4gVk3sOsRx76z6MFukL2xzzemksHQ2Ma0xQitC6Cg3I2bskhm5iRAvpzeotyNSUr35GTRR4uINUOtheiCmLcP4UprFPa6B88/iBLQbD7XyYBFTArrIdWvprCqbIzAbp3bq4ybcLT9CYoX9A5U87L8VriRtDjNTwSmGrz6e0hiYo6HZpJSXFmn7aj4nDvjIpryUyQ3si6Sq+3mkJIRXG1NkfXvg/Gk446sqqXimqNeOc1/CuYz1iicH+QD3A5nxX3cV2fuJLd6/rW462+wG+wzK1AgjfgjdsPKaoSkkxsOCOlvDEBy42SFuX1GaenTz6YUMP8yxE9o4fQrhn/YTkG5PT0KakG/IflhRWj97a3Q+j7vxWKc/rG+JXjaI4ffXavCX7ltSmnpxvZm9CXVzMcP3qeSRP8yjkCTk+fZzLSVxQFuPzV+q8o+zB6iOiq7Kcini2G3bSVyK9J+AD3MKF980xriKbrYtzGkWAhAdnDpF+/tBOBbsWEBeO24jVl91RFQZKbib4uR1cMivHi3TYoDCxXk3mr+rrydqvN1wUFTOb1yI76wZvMKmrVvEP6EvJ2h7CPRBGeMkdAW7zVoi5MDlbgyzSTx6jYtsAb23ZYBp2V67Lc4eiDqGKrEAuiKu3CFNGCGHx484pn0RYLa4qArBLM2rYLBZlbU/YVmvahkJPRaNhCCnSa8mwBRxUbvEEOVaOVeRra4fOkFpPCIHZAqGJXCe/R9ozsjJqutwoNmmOxFww/Y25RaMPTL1SaaANvnKzVRsFGtdBnaANxKu/x4doohlvTxo0z2dZitdDVpK2pDLtKY1VA6MrVb2xooiu83bZWV8UA3ZuuwBiYrooONXDTpgyJCHF0u4xN+CqRscTXNLnWOQt1Y3UtvmXPz5p/xlhAsaoyFkCBDN8iBmmArzkRSzZfseZGYmjR/IXoB59ktxbT5oTLLilcdXxWpOWK4UkeJG0l0jSYD9lgoGwuZOiQusWzJjYU2qCwUk3EFCqoC2zohsQGWcUCK3IUVQtY4egMzZdwWQJFJn4errRjGHgFVFXJ4PGA2WvvVkBR5/aKbGPRW/N6b6ep3YCxOksJdzjSexkZXu1ptBpyGXqP6xUet2Fwad5kJZz4sBgh6hb8+kkSCW7azS1iS6g47BJi1xsnPAN+UH0QlDQuzGsSS5i8ohKGw0189WNa4O02qaLoyCnveubut3qZVWVhODrCYZjivmSYAJ+euYAxxSPKKlZA55pSCM+GbqisUOUi4PlLMgN0av1cMmrdGJQco3QCz13VYO9VHyfrAyDF0mgBAFL+6ME+9bE+USCwyOGhp72h/Z3Vt84XZE4S/oacK36ziWI4y4Vk/iEzDCnIKkox1VKNI0q6VK2iFMEeVSGiZIduFk8naqSVA4QMUEnJzuWr4glI8zmajDhESVPtVZQi4+OpCEG+U4OQp8WWBFqon+zg3FI/MaXElhgfomRHkldQSmxJahtR0pRyuZ+Yp8SWOG6EEDuavIKnxJZMwYiSptGreEpsVYR8LUIjLbaqJbDSS5knphTY0uIHQkhrCZhSYqtaAiu3VPGU2BLviBDSjhXMU2JL5j5EqR0rmFJiqyLk0+JEWdqyN1CtZ6i1HkYjbVW1GygJasYHo5FIqhbjai2G0ShraIyE1lYYjUCP5DUwjXYcMRqJm4qBp8XgIljirCPiAfGPpv/w0oXFJoZ3kKTkDSYsW6nqB2qCOrr7cPHVmsEoFGSqKcFGKx1ZuoIjogtGqkcw3m/9zf67iK0UGu0QmW2yDF7/8lSQlGDTsuEkmJM6prTgXT0+xEES5Gn2ZF2Hj7kQUrUiXwvF79NUqkolgDKqBrs/wGtn4I02lpgiVfuGGLGCCOdHkFHA6qKCCCetMJF2rBfiiXFBn86RHoIVEcvj/H3ysBG4wT4jPCpgi5BGuA9R8jVcqqanIsHK7WVOH8NNngXSXEseRdunj+TpakGiztRa4T7CEQDCCtT7AQ5Nb/60yTEA6rTDjrYtd+RTmJFISWQWFMy0joQermB/IRoimyZ54KFVPb1VWJinRYXdI5bdfkVDoiW/oiWZJNG6NMYOZ+Q0OLKbhO1BKsB4k3DC7BSyMry0JSGS3svSe4RE+siL3iME0kcQ9B4hj34mpPeISUDvS+g9YhHla2dxeg/4aJ6PMhuKLLFpPcp1lMMxWUV6VDE+OM9Og/p1Clt2xaBQwwZ2gHtZBX8JsoR4OuxTSbIW+yC2D1VQwmpj+SiPD6FjLSev0KLdFusPMNpleBts4vxa/Hjak5//SI+SAxn5XZ+ib2lOmzjtyc/0jT7c35Kz5IH5KtvQY+XJqgcfLy8PQ1Euy7cPKJflSYbKZXmY4gDxGdB7gCHMPB/WcPYc/G9tsui096+ri/H08mo+7E/si0nfc0O/P/UvLvu+N7u4vJxP7aE9+zeohLzz7Bje3vSCd4rRd5/Bli7HO17H8OaxjAPOAfwsr5320BcGITGXAYiNZZ8OR/a579j9uWs7fW8UTPqTkev3574zvBx5F1f+3Eey+8+T3bEHjsNe3EaE94/zaBXGUVLYS2El+CoYCnyt6ATpCtXEYC1eLHf2fwAAAP//AwBQSwMEFAAGAAgAAAAhADgHfaBTAQAAiQ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ySX0/DIBTF3038Dg3vLdCpc6TtEv/sySUmq9H4RuCuq7aUANrt20vbrc7MRB/hnPvjnBuS+baugk8wtmxUimhEUABKNLJURYqe8kV4jQLruJK8ahSkaAcWzbPzs0RoJhoDj6bRYFwJNvAkZZnQKdo4pxnGVmyg5jbyDuXFdWNq7vzRFFhz8c4LwDEhV7gGxyV3HHfAUI9EtEdKMSL1h6l6gBQYKqhBOYtpRPG314Gp7a8DvXLkrEu3077TPu4xW4pBHN1bW47Gtm2jdtLH8Pkpflk+rPqqYam6XQlAWSIFEwa4a0yWc/XGg1WjJBgoCjBBGNxvfRrFqwQfGbulVty6pd//ugR5s/tj9tTv3+1rDo+DDHxwNtQ8KM+T27t8gbKY0GlIZiG5yMmMXc5YPH3t4vyY74oMF/U+1D+IlPZEwmh8RDwAsgSffJ7sCwAA//8DAFBLAwQUAAYACAAAACEAek+mBk8BAAC4FwAAJwAAAHhsL3ByaW50ZXJTZXR0aW5ncy9wcmludGVyU2V0dGluZ3MxLmJpbuyYwUrDQBCG/ySCVQ/ePHjypl5ahV5MT6VBQWoNmEIPuQQTMZA2JV3MTfA1fBofpA9QfIn037U9CEFF9FJml8zuzvw7S74QWGaICVL4KGgnUDjCCe4Q4QkJ5z48XOLUeAt6Yqr0eE9lAt2srRhzzA+c6gUWdvC6127EnO1jZNscR7ZDVRdto/5bY3+T7ngVXzgLZ/sfzpeUQuC3BDy/163bW5Zls/Oo1NRttToPaZbocRylmcpd45+ZgIkLfSEgBISAEBACQkAI/ITAW1VVWmfxqbuArO/UOq5bbLSW0ecN4H1XOAsBIbCJBOr+ffnSQkAICAEh8DWBHlyEGGLGumhBGyLg/WqAa9pnnKPJquot1yHXU3aPNVbFJ0QfOeupETKzJ8GY0RAXq0hpsn6u0epzdGW2jytmDdgHzB/ghl5pm03g8Ozj/ZYAAAD//wMAUEsDBBQABgAIAAAAIQCtaqdRlQEAABs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SzW7bMBCE7wX6DgLvMeX0B4VBMTDstinaIgakJGeWWllEKJLgbgS7T19Kgh257Sm33dnB8OOS4ubQ2ayHiMa7gi0XOcvAaV8bty/YffXl6hPLkJSrlfUOCnYEZDfy7Ruxiz5AJAOYpQiHBWuJwopz1C10Chdp7NKk8bFTlNq4575pjIat188dOOLXef6Rw4HA1VBfhXMgmxJXPb02tPZ64MOH6hgSsBTrEKzRitIt5U+jo0ffUPb5oMEKPh+KRFeCfo6GjjIXfN6KUisLmxQsG2URBH8RxC2oYWk7ZSJK0dOqB00+Zmh+p7Vds+yXQhhwCtaraJSjhDXYpmasbUCK8tHHJ2wBCAVPhkkcy7l3Xpv3cjkaUnFpHAImkDS4RKwMWcC7Zqci/Yd4OSceGSbeCacc+KYz53zjldNJf2VvfBeUO8ry+7ftulpn66+CnzTxw7gnvA+V3yqC02IvRVG2KkKd3uK8+LMgbtNOox1CNq1ye6hPnn8Hwzd4mP66XH5Y5O/y9MIzTfCXXy3/AAAA//8DAFBLAQItABQABgAIAAAAIQC/5XFQcgEAAGYEAAATAAAAAAAAAAAAAAAAAAAAAABbQ29udGVudF9UeXBlc10ueG1sUEsBAi0AFAAGAAgAAAAhALVVMCP0AAAATAIAAAsAAAAAAAAAAAAAAAAAqwMAAF9yZWxzLy5yZWxzUEsBAi0AFAAGAAgAAAAhAI2H2nDgAAAALQIAABoAAAAAAAAAAAAAAAAA0AYAAHhsL19yZWxzL3dvcmtib29rLnhtbC5yZWxzUEsBAi0AFAAGAAgAAAAhACAzL9k7AgAAmQQAAA8AAAAAAAAAAAAAAAAA8AgAAHhsL3dvcmtib29rLnhtbFBLAQItABQABgAIAAAAIQA7bTJLwQAAAEIBAAAjAAAAAAAAAAAAAAAAAFgLAAB4bC93b3Jrc2hlZXRzL19yZWxzL3NoZWV0MS54bWwucmVsc1BLAQItABQABgAIAAAAIQCLgm5YkwYAAI4aAAATAAAAAAAAAAAAAAAAAFoMAAB4bC90aGVtZS90aGVtZTEueG1sUEsBAi0AFAAGAAgAAAAhAOvN0suZBAAAXRcAABgAAAAAAAAAAAAAAAAAHhMAAHhsL3dvcmtzaGVldHMvc2hlZXQxLnhtbFBLAQItABQABgAIAAAAIQBKJ739qA4AAJ5uAAANAAAAAAAAAAAAAAAAAO0XAAB4bC9zdHlsZXMueG1sUEsBAi0AFAAGAAgAAAAhADgHfaBTAQAAiQIAABEAAAAAAAAAAAAAAAAAwCYAAGRvY1Byb3BzL2NvcmUueG1sUEsBAi0AFAAGAAgAAAAhAHpPpgZPAQAAuBcAACcAAAAAAAAAAAAAAAAASikAAHhsL3ByaW50ZXJTZXR0aW5ncy9wcmludGVyU2V0dGluZ3MxLmJpblBLAQItABQABgAIAAAAIQCtaqdRlQEAABsDAAAQAAAAAAAAAAAAAAAAAN4qAABkb2NQcm9wcy9hcHAueG1sUEsFBgAAAAALAAsA5AIAAKktAAAAAA==</bi>
                        <ref key="applyFirst" refId="1138"/>
                        <m key="rules" refId="1217" keid="SYS_STR" veid="System.Collections.IList">
                          <key>
                            <s>46524D4F424A-45-48454144455253----434F4C554D4E53-234E2F41-48454144455253-234E2F41</s>
                          </key>
                          <val>
                            <l refId="1218" ln="1">
                              <be refId="1219" clsId="StyleRule">
                                <be key="ruleCondition" refId="1220" clsId="StyleRuleCondition">
                                  <b key="trailing">N</b>
                                  <b key="leading">S</b>
                                </be>
                                <s key="codStile">Style15</s>
                              </be>
                            </l>
                          </val>
                          <key>
                            <s>46524D4F424A-45-56414C554553----434F4C554D4E53-234E2F41-56414C554553-234E2F41</s>
                          </key>
                          <val>
                            <l refId="1221" ln="1">
                              <be refId="1222" clsId="StyleRule">
                                <be key="ruleCondition" refId="1223" clsId="StyleRuleCondition">
                                  <b key="trailing">N</b>
                                  <b key="leading">N</b>
                                </be>
                                <s key="codStile">Style15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183</s>
                    </key>
                    <val>
                      <be refId="1224" clsId="StyleSheet">
                        <be key="version" refId="1225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24"/>
                        <m key="rules" refId="1226" keid="SYS_STR" veid="System.Collections.IList">
                          <key>
                            <s>46524D4F424A-45-48454144455253----524F5753-234E2F41-48454144455253-234E2F41</s>
                          </key>
                          <val>
                            <l refId="1227" ln="1">
                              <be refId="1228" clsId="StyleRule">
                                <be key="ruleCondition" refId="1229" clsId="StyleRuleCondition">
                                  <b key="trailing">N</b>
                                  <b key="leading">N</b>
                                </be>
                                <s key="codStile">Style4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230" ln="2">
                              <be refId="1231" clsId="StyleRule">
                                <be key="ruleCondition" refId="1232" clsId="StyleRuleCondition">
                                  <b key="trailing">N</b>
                                  <b key="leading">N</b>
                                </be>
                                <s key="codStile">Style12</s>
                              </be>
                              <be refId="1233" clsId="StyleRule">
                                <be key="ruleCondition" refId="1234" clsId="StyleRuleCondition">
                                  <b key="trailing">N</b>
                                  <b key="leading">N</b>
                                </be>
                                <s key="codStile">Style13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198</s>
                    </key>
                    <val>
                      <be refId="1235" clsId="StyleSheet">
                        <be key="version" refId="1236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38"/>
                        <m key="rules" refId="1237" keid="SYS_STR" veid="System.Collections.IList">
                          <key>
                            <s>46524D4F424A-45-48454144455253----434F4C554D4E53-234E2F41-48454144455253-234E2F41</s>
                          </key>
                          <val>
                            <l refId="1238" ln="1">
                              <be refId="1239" clsId="StyleRule">
                                <be key="ruleCondition" refId="1240" clsId="StyleRuleCondition">
                                  <b key="trailing">N</b>
                                  <b key="leading">N</b>
                                </be>
                                <s key="codStile">Style0_Header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116</s>
                    </key>
                    <val>
                      <be refId="1241" clsId="StyleSheet">
                        <be key="version" refId="1242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bi key="blob" ln="12316">UEsDBBQABgAIAAAAIQC/5XFQcgEAAGYE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slE1PwkAQhu8m/odmr6Zd8GCMoXBQPCqJ+AOW3YFu2K/sLFj+vdPykWigSPDSpp3O+8zbmdnBqLYmW0NE7V3J+kWPZeCkV9otSvY5fc0fWYZJOCWMd1CyDSAbDW9vBtNNAMwo22HJqpTCE+coK7ACCx/AUWTuoxWJHuOCByGXYgH8vtd74NK7BC7lqdFgw8ELzMXKpGxc0+ttJTPtWPa8/a5BlUyEYLQUiQrla6d+QXI/n2sJysuVJekCQwShsAJI1hQhaiLGD0iJjCHjR5kRDF4G3bkqKLMtDCsd8I6snyA0kdOudnnv1I6oFWQTEdObsOSd14Z/+biceb8sukWaX2Mxh1qCKVr/hRUy+rETMwMUE9rtK+wgtZnI21v/D8ifLe/uRuOkFT5TR6JpAt5ery+hlTkDxLQxgP/sdivaRaahnUQfkPYiwuX0/RA22XkgIYhJw2EMjzX5QKSlutouNFurQB1h8/aUGH4D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jYfacOAAAAAtAg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HLasMwEEX3hf6DmH09dgqllMjZlEK2xf0AIY8fxJaEZpLWf1/hgt1ASDbZCK4G3XMkbXc/46BOFLn3TkOR5aDIWV/3rtXwVX08vYJiMa42g3ekYSKGXfn4sP2kwUg6xF0fWKUWxxo6kfCGyLaj0XDmA7k0aXwcjaQYWwzGHkxLuMnzF4z/O6A861T7WkPc18+gqikk8u1u3zS9pXdvjyM5uYBAlmlIF1CViS2Jhr+cJUfAy/jNPfGSnoVW+hxxXotrDsU9Hb59PHBHJKvHssU4TxYZPPvk8hcAAP//AwBQSwMEFAAGAAgAAAAhACAzL9k7AgAAmQQAAA8AAAB4bC93b3JrYm9vay54bWysVMlu2zAQvRfoPwi821osJY4gKYiXogaKIkizXHKhqZHFmotKUrXTov/ekVS1aX1J0V5Ecki+mffeUNnlUQrvMxjLtcpJOA2IB4rpkqtdTu5u30zmxLOOqpIKrSAnT2DJZfH6VXbQZr/Veu8hgLI5qZ1rUt+3rAZJ7VQ3oHCn0kZSh0uz821jgJa2BnBS+FEQnPmSckUGhNS8BENXFWew0qyVoNwAYkBQh+Xbmjd2RJPsJXCSmn3bTJiWDUJsueDuqQclnmTpZqe0oVuBtI9hMiLj9ARacma01ZWbIpQ/FHnCNwz8MBwoF1nFBdwPsnu0ad5T2WURxBPUunXJHZQ5OcOlPsBvAdM2i5YL3A3jOAqIX/y04tp4JVS0Fe4WTRjh8WAyi6KoO4mkroQDo6iDpVYONfyh/r/q1WMva43ueDfwqeUGsCk62YoMv5SldGuvqau91oicLNPHO4v0H7G1PtKp1aoEA7sdmMdnOtNTE/9Caco6yj5yHuoa5n/yL7Kui+85HOwvJbulJ7nikn/pjAixqAeuSn3ICb6Qp2fzQx9+4KWrcxLN5wHuD7G3wHe1w8tRPEv6Up5l6p8BZuxHT/X2f+ieBqbqY5shrUk5TsymDHuE8RqjgqHd3dAfTKIk7E/A0b2zrshwRKV5Tr6GcXB1HlzEk2A9Sybx/CKazONZNFnGq2idnK9X60Xy7f82Nxqejv+HrsqaGndrKNvjX+UGqgW12OwDIawTfRmr9sdbxXcAAAD//wMAUEsDBBQABgAIAAAAIQA7bTJLwQAAAEIBAAAjAAAAeGwvd29ya3NoZWV0cy9fcmVscy9zaGVldDEueG1sLnJlbHOEj8GKwjAURfcD/kN4e5PWhQxDUzciuFXnA2L62gbbl5D3FP17sxxlwOXlcM/lNpv7PKkbZg6RLNS6AoXkYxdosPB72i2/QbE46twUCS08kGHTLr6aA05OSonHkFgVC7GFUST9GMN+xNmxjgmpkD7m2UmJeTDJ+Ysb0Kyqam3yXwe0L0617yzkfVeDOj1SWf7sjn0fPG6jv85I8s+ESTmQYD6iSDnIRe3ygGJB63f2nmt9DgSmbczL8/YJAAD//wMAUEsDBBQABgAIAAAAIQCLgm5YkwYAAI4aAAATAAAAeGwvdGhlbWUvdGhlbWUxLnhtbOxZz4sbNxS+F/o/DHN3/GtmbC/xBntsZ9vsJiHrpOSotWWPspqRGcm7MSFQkmOhUJqWXgq99VDaBhLoJf1rtk1pU8i/0CfN2COt5W6abiAtWcMyo/n09Om9N9+TNBcv3Y2pc4RTTljSdqsXKq6DkxEbk2Tadm8OB6Wm63CBkjGiLMFtd4G5e2n7/fcuoi0R4Rg70D/hW6jtRkLMtsplPoJmxC+wGU7g2YSlMRJwm07L4xQdg92YlmuVSlCOEUlcJ0ExmL02mZARdobSpLu9NN6ncJsILhtGNN2XprHRQ2HHh1WJ4Ase0tQ5QrTtwjhjdjzEd4XrUMQFPGi7FfXnlrcvltFW3omKDX21fgP1l/fLO4wPa2rMdHqwGtTzfC/orOwrABXruH6jH/SDlT0FQKMRzDTjotv0u61uz8+xGii7tNjuNXr1qoHX7NfXOHd8+TPwCpTZ99bwg0EIXjTwCpThfYtPGrXQM/AKlOGDNXyj0ul5DQOvQBElyeEauuIH9XA52xVkwuiOFd7yvUGjlhsvUJANq+ySQ0xYIjblWozusHQAAAmkSJDEEYsZnqARZHGIKDlIibNLphEk3gwljENzpVYZVOrwX/48daU8grYw0npLXsCErzVJPg4fpWQm2u6HYNXVIC+fff/y2RPn5bPHJw+enjz46eThw5MHP2a2jI47KJnqHV98+9mfX3/s/PHkmxePvrDjuY7/9YdPfvn5czsQJlt44fmXj397+vj5V5/+/t0jC7yTogMdPiQx5s5VfOzcYDHMTXnBZI4P0n/WYxghYvRAEdi2mO6LyABeXSBqw3Wx6bxbKQiMDXh5fsfguh+lc0EsI1+JYgO4xxjtstTqgCtyLM3Dw3kytQ+eznXcDYSObGOHKDFC25/PQFmJzWQYYYPmdYoSgaY4wcKRz9ghxpbZ3SbE8OseGaWMs4lwbhOni4jVJUNyYCRS0WmHxBCXhY0ghNrwzd4tp8uobdY9fGQi4YVA1EJ+iKnhxstoLlBsMzlEMdUdvotEZCO5v0hHOq7PBUR6iilz+mPMua3PtRTmqwX9CoiLPex7dBGbyFSQQ5vNXcSYjuyxwzBC8czKmSSRjv2AH0KKIuc6Ezb4HjPfEHkPcUDJxnDfItgI99lCcBN0VadUJIh8Mk8tsbyMmfk+LugEYaUyIPuGmsckOVPaT4m6/07Us6p0WtQ7KbG+WjunpHwT7j8o4D00T65jeGfWC9g7/X6n3+7/Xr83vcvnr9qFUIOGF6t1tXaPNy7dJ4TSfbGgeJer1TuH8jQeQKPaVqi95WorN4vgMt8oGLhpilQfJ2XiIyKi/QjNYIlfVRvRKc9NT7kzYxxW/qpZbYnxKdtq/zCP99g427FWq3J3mokHR6Jor/irdthtiAwdNIpd2Mq82tdO1W55SUD2/ScktMFMEnULicayEaLwdyTUzM6FRcvCoinNL0O1jOLKFUBtFRVYPzmw6mq7vpedBMCmClE8lnHKDgWW0ZXBOddIb3Im1TMAFhPLDCgi3ZJcN05Pzi5LtVeItEFCSzeThJaGERrjPDv1o5PzjHWrCKlBT7pi+TYUNBrNNxFrKSKntIEmulLQxDluu0Hdh9OxEZq13Qns/OEynkHucLnuRXQKx2cjkWYv/Osoyyzlood4lDlciU6mBjEROHUoiduunP4qG2iiNERxq9ZAEN5aci2QlbeNHATdDDKeTPBI6GHXWqSns1tQ+EwrrE9V99cHy55sDuHej8bHzgGdpzcQpJjfqEoHjgmHA6Bq5s0xgRPNlZAV+XeqMOWyqx8pqhzK2hGdRSivKLqYZ3Alois66m7lA+0unzM4dN2FB1NZYP911T27VEvPaaJZ1ExDVWTVtIvpmyvyGquiiBqsMulW2wZeaF1rqXWQqNYqcUbVfYWCoFErBjOoScbrMiw1O281qZ3jgkDzRLDBb6saYfXE61Z+6Hc6a2WBWK4rVeKrTx/61wl2cAfEowfnwHMquAolfHtIESz6spPkTDbgFbkr8jUiXDnzlLTdexW/44U1PyxVmn6/5NW9Sqnpd+qlju/Xq32/Wul1a/ehsIgorvrZZ5cBnEfRRf7xRbWvfYCJl0duF0YsLjP1gaWsiKsPMNXa5g8wDgHRuRfUBq16qxuUWvXOoOT1us1SKwy6pV4QNnqDXug3W4P7rnOkwF6nHnpBv1kKqmFY8oKKpN9slRperdbxGp1m3+vcz5cxMPNMPnJfgHsVr+2/AAAA//8DAFBLAwQUAAYACAAAACEAlZSbWYgEAADNFgAAGAAAAHhsL3dvcmtzaGVldHMvc2hlZXQxLnhtbKxYTW/bOBC9L9D/IOhey/pwPgzLRbpBsTkssGi6e2dk2hYiiVqKaZr99fs4tN1EQzRmnJuUjB85M+/NjGbx6UfbRN+lHmrVlXE6mcaR7Cq1qrtNGf/97cvHizgajOhWolGdLOMnOcSflh9+WzwqfT9spTQRELqhjLfG9PMkGaqtbMUwUb3s8J+10q0weNWbZOi1FCv6Udsk2XR6lrSi7mKHMNfHYKj1uq7ktaoeWtkZB6JlIwzuP2zrftijtdUxcK3Q9w/9x0q1PSDu6qY2TwQaR201v9l0Sou7Bn7/SAtR7bHphcG3daXVoNZmArjEXZT7fJlcJkBaLlY1PLBhj7Rcl/FVOr86S+NkuaAA/VPLx+HZc2TE3a1sZGXkCnmKIxv/O6XureEN/jQF5EAGFlJUpv4uf5dNA2TARsO/7hR3RHI4Y7n4+bw/7wvl7C8dreRaPDTmq3r8Q9abrcHBM8TAhmK+erqWQ4Uc4OhJNjtc/FoYsVxo9Rghn/bgXlh2pHM8+3+5XFTW9soa258gBAl+fwDJQkCsMUDOGEoegmKNyzgvGEoRgmKNgXLBUBDE48Nijcu44Hc5C0GxxkC5ZHc5D0GxxojuOUOxVeLoRFtjoPC4XIagWGN4lLG7pKhhAayz1mWc5RwnjL07+vIIp0EEJmvcZ8rvE0Th1HF45sEJInHqWLyrG891aWtBQJwdjz3pCuIxlE2i4tEJIjIoTOzhMEFMBoctDFW/FzUrDaIyWZcxL1pgQUCIybqMuTqzICaTdRlzeWZhldiVYq4HSC3EKcdjiJr1hSAeZ47Hqae/BPEYrY6qFydyFkRkskYV5HUnC2IyWYOCHr9GVHb9e3IOB8y2ru4/K9vQvV05xzDhmnLmGF5wimcjihP82WSP/k31hB5wlKvoMx7ZfCSDsSf7s349XxAKIsUjno/08aZIEQjgeaPOR7o5OVIEiKN4UvKRtt4YqV3v8ExRQZrDAEXlkVekPEhzZA1/eUnKgzRH1pgZPH4FaS533SPntQ3DXkBtI2tMiJ48BvUPXISaIq8BxSvKOaoGEAhGEs847BPOKTWgcFMUWtC42mPQexHZk0VEgCADJ2fhE9FJXjk9IY7Mq5GeTvdq99HBKY4S/s4BdJ0QxYh5NVLl6V65qc99Zr4YtJC+d/bKaXvGtV14+qmdlajDHd3uZofWSniY+jys8LXWi5+d+y2H7T6XPB+jvhJxCtvxyUGzNdcwhpSQD19XC1Bsx/zCiBCC4wZRtEaG80q3PKo6Yp6gD0iuOIwCnJsznsZfjy2EgurrCUPYHmG3SPCEIaiJznZa9DApqInOnNDwUcHS4hMaYvnaKFkcpIVJgXLCRQxds5xkRbi0np21a75cxlD2+9YmAsRU7dkFvTLBHjch06KQlnyHlLjtoFvq9WIj/xR6U3dD1Mg1bf6QRO1Wg9MJno2d+vEErt0pY1S7f9ti8yux5ZtOIJe1Umb/gpMs7q00D33Ui17q2/o/LFwRVaVr7BdptVvGvdJGi9rgvHmNfae+WbkCc1hEL/8HAAD//wMAUEsDBBQABgAIAAAAIQC5Dh8cMA4AAFZpAAANAAAAeGwvc3R5bGVzLnhtbMxd627byhH+X6DvQCg4xTlBZfGqi4/l1JbNNkCaBoiLFugpAlqibB7z4lJUap+if/o8fao+SWcvXM5Sy4tkygyMIJbM2Zn5ZnZ2dma1Onv3FIXaVz/dBEk8Hxgn+kDz42WyCuK7+eDPN+5wOtA2mRevvDCJ/fng2d8M3p3/+ldnm+w59D/f+36mwRDxZj64z7LH09Fos7z3I29zkjz6MfxlnaSRl8HL9G60eUx9b7UhRFE4MnV9PIq8IB6wEU6jZZtBIi992D4Ol0n06GXBbRAG2TMda6BFy9P3d3GSerchiPpk2N4yH5u+2Bk+CpZpsknW2QkMN0rW62Dp70o5G81GMNL5WbyN3CjbaMtkG2fzwVi8pbG/vF8BhGN7oDGlF8kKxPjy/W/+sU2yH//3n/+yX95qb3775o3+5YcfFX/66Xv6x5+Uf2T0Q/Yfpf/dlx8Go1wwSQqnLAVm+1bDfN5q+ww8bqfeiV6vIfy9hZLv3jWoOalQM2cvNM35lZRtZAD+j61JrQOzRA36TH5YP9G/I0+OuOOcn62TuPAfEzyF+uXpQ5z8M3bJ38CBwKvIY+dnm1+0r14I7xhkkGUSJqmWweQCp6LvxF7ksycWXhjcpgF5bO1FQfjM3jbJG3Q+8ueiAGYHlYhx6InPdEcfiwJa1kf7ENzdZ81aeT8rtLoluucIOi05HoigxIvqIllLrV0XvHY9o1NeKg9M727nA9eF4G3obB4c0Q05s9lCB35KH+nQ5wWzsfNqmlmu5U461UzyReQfXDvC0HK7hLKBoXsxuXo1OLtnVqUdD8SvNQPIhOsWxQDHx10/mbjk5zX85JWXtKNYbHdFg0Q6C0iWOLRPZrPpzDKmjmmMp5atW9dDujIX6/eNd59EnjKUjVQrNWW3P7nkyxSH4ycVCBkegWzbsccXsmcdBMDxhMdA7Zq2o+SLWnYDGVsQhmJPYZFNBXnn/Ay2N5mfxi680PjvN8+PkPzFsBMj8I3Ycw1P36Xes2HSBKgdwSYJgxWR4m5BU05utsX42l1cU75IsrZSVAzquovJEQa9vpwtupd0MZt1Pajpwk/Hg1445Kdz9cFUnWHKQ77dlZBiPB5z9ZPJDIIuhNvpdGZbhm1TkG+5Rwfxyn/yYbM+7gymXQkckGBmTWdjEwTR7Sll9aoSWCDAxHGmjjEzbfhH49bxJegaU6hksJW0N6siCXqyKpKgJ6vSPcqog8jPZwqUkXq2KpKgJ6siCXqy6qTjCAzluJ6tiiToyapIgp6sSlPWDucq1EB7tiqSoCerIgl6smpnySePwFCs7tmqSIKerIokeG2r8m2VMyM/JAzvZmad5cec15W+uGa7rePzIhsbtrXZhxfdocKe+DZJV9CUzDtthgX7Ufbe+VnorzOAKyW9Afg/Sx4JeEmWQQvv/GwVeHdJ7IVkf5xTtKCEJif0M+eD7D5YPgAzqbbA7MBYHIuDmIs22bnYE1uf2I45ZpvDjlhH/irYRrvaCd7KOQAwEmybFUcYxoIJd72inDgi9uPma0lBTU0t3ZIAfCJ3iZYUXehYlNbb6ogo2umICFrqiCg68qJVsoX+etnArjvVdbrD3Ntf1APWo9lIs4tnI4kC0UaaLvzm0iQ/NBNvOTcQRTu/QQQt/QZRHOY3yoknFX6a8ZYefxHUol3TWJVvnLt7DFUYZ58lqg65Fm2F4yjwUqGa3G4PVPd1hJUHR45IRZst6nk9mzTUaBNEBVgjjSK+NLFR+XsTTZ2uPL+BdGnph+FnksD8dV2cTiIHSZ7W6FAQ+A5pJpFTSuRX6CvwX1l+xF6Ao0pExpgesWFkRiWZ5j0+hs/kCAsdnL0CDsWrS5rSFa8vwuAujnxM8ClNMn+Z0aNo1DIlSeiZpm9CEnoI6puQhJ42+wYkoUefvgE5kJObDd76cRvd+qlLDygezWuRPFaFPDCr6HxpI8/eswbxJ66imvSA06vwJ9NXxR9w6ZU/QNSa/4ujGLIHCSIcDzABDsJ18nQpAQntXAIwQh8SkOOVXAJwzz4kIIGLSwAOWkgA4tR4xUvmoYFWX/CBgiXwPxZLtHJLLI+oZVX4Bf6vMt2haCQsC45ewAwvjgVzVYjtK8Qgs8NMKyCAF3U2kNK4F7l6VczvDRAUdEGGAhEIA6/jlSjmAs8+Ih5yChKK+hYBxOlFBGQIo6f118Ay9LQCY2/oaQnGIkhrcH2U6DITkiwhrZA9ySCtWK8oQ7FmGtKK0Y8IfUVINC/NvkIklqGvGIl2KH2FSCRCXxESW6KvEIll6CtGIlP0FSKRCH1FSGyJvkIklqH/LNLqP4u0voEs0uorRKIiiiXFSEjvz8/gs6Gs0K7dJ2nwC+ztyIdKl1B599MB+ex3FizRO+TgxNO6unVgoIKJZPdjMCOLr6hQlUJvlWakh3qAXnA8uqonsicnjZwvJ30N1g6vAxPr1xbMffSDE/CgFW/6mKgiY0lgwieMq3Skfa62cMrsqgA9OjdLWiCPw66ymF895faDEhWKK12zZsrtaTfUvqlxk650k7wSuUnJcJ2xw9od23DIbmQHpex4kHpD6/ob+QBYRdv04OA+wh1j1j/GrWPzoNax9rRW95ArINlZq/gA9uQIqxba15azFSY23MZQ7n1juRF9eQvA6emp66qGOy5xlJNGRg/ZQzv+ZH5KBTNOTz+h0YK/Wc7dGb2923FX67+T7XH61viVUzWOH/3cUBv8ytsfTk8P0bahLyfMHD96c0Ib/MrbUE5PP0vRhr68ceH40WyhBf1Oqsvp6/GrqXtz/Or9r6azweghL6zz35qsMZ/20+6nfV3+mLOdVbLtPpPkPJ3qla2CZ1NO2TrzyiUgJ6rVO4NuMr6dHCxnbHfFGJ9Lqmn1ce9Ud7x25xw+x4I2H+U+LR9V3bHdHbV9Hp7DRJbgTuyDYarpAnOF1M3Z+tCEenzS0gTceGjJT7iwVCZ/ldfv60dHmxZp4QVJucx5PzcfvSYM1Rw34IPtrgIVHlHup3JV1XVyAQDtrNZ6XVXbHMRgLHKfY4ft9gKzcezc/NWmkc4DojKUtCiSi61oLliR6DYLza9R4wfKGj0sP8YgY3KAu9WcBuEa7aY5xrjt7im3YHWCu2fwxZO7siYorGGrT1q1sQY+8NhojZzNi62BOJXP5nBr5NOtrakr18mdrWduq+qspCNbqTWz1AcS2tiKoMZLPkZzbOY70aPZCpyB2SpXqEWYriuL5XapLlkdmLah1V69Q1QdSW5ZWciFrs4193ImvDHDRwjKR7sY8GTDRqsNLaM67oWT0pN0Jo4PWZX47Meo0TvL6yY/Zk4rInutfGj7Is03WBGZRnl+uKd3luqoYrixCEx8xVdJjk5WdePNcnSrqXTl/uh0k2VW+aOUDopliBQgDvZHaWqC73N/VJ9jbBMtq5ZQKdkUsltV+4hmjXBYruwhFmu1ukT4Ao3k9pSAzq5K+Q+2kVRfKax+ePJRgRw54KmITWa+H5DP078AORIQVUEwH3JfRmjRQGUZ9d4JuheqUvFewQ8FAin4wSBs+jTtoOiJ5byLBFTqojZMTb5DIZeYHbZ5pYVpKEWjzzTJn2gShWuN3H83H5j6d9pQu1iSfqbQh9yse7sNQrjfgFSkYQGEPWEdpYjbJtnWIUqa7ddRivSGTi9Eye6Nyz+YpZC2iClk2S4o2V1VdTzBiAxoqNlKlLQEXEcpNs22jBAUpBQI2UpsiQshPdnVkSU9MWWBLQkMiJJdyltDWWBLZjqipKXGsp6YZ4EtmboIW3Y5bw3PAluS+SBKWt6t41lgKyPkKBEaK7GVPYG1BMo8MaXAlhblEUJKT8CUBbayJ7A2QB1PaS3ECCnnCuZZYEtiHcJWOVcwZYGtjJBDi9ZlacvRQPYeU+k9jKbwVdlvoFWlmB+MpkBS9hhL6TGMpsBQ9hVb6SuMRqBHtoYYPeU8YjQFbjIGthKDS2+FCzeIB6ypCv3h2vHlNoRb+BNyhz8r+Mj2gV6Viu7eXz5oC5iFgkwOu6YS7kUSwSWpOSM5IijZkOe1v+l/F3VIiUY5RRbbNIUvQHgWiaUMtZINJ8Gc5DmlBO/66TH0Yi9L0mftxn/KcLEUIe8oofh9khSmkt0OsmsF5H+AL16A73TQ8JKPuBi1RHiThImUeuWc8L4fEynnek4k5gX9YEIRIVhzqTzP38ePW4GbIWMOJQQFDB+C+MFfya4nz3TWBi5z+uhvs9Qr3LUUUZQ6fSQfLBUk8kqtFO4jfPpZeIH8PMCh0OZP2wwDIIcSdt1jWZFPfkoyJVRLxr6mYkI/V65/IRYi58V44qE0PX1UeJitRIU9U6SKNQOJkZyakYRvskuUyvoydsIXYVuuwJE+JAZSx0b6jBhHnS/RZ4QLq9d9+owI5er1iz4jQrc6AtBnxCbOUa699BmIrDwrV64T9Jmit6CMAzdBBhe+8GHkAA8FRgWgNwmcMRSuLC/27Crisp3+4qUxiU84EpKThjhysON0ghL2CKun4r4DatmMfPULVUnsGsDVVv7a24bZjfjjfFD8/kd6KRLIyJ/6FHxNMjrEfFD8Tr+JgkdJcisyMI/SLb0gmexV8EXJxf3W0tvFhVjS28WdXNLbxbVgI8RnRJ8BhrBefNjALUrwv7ZNg/ngX9eXk9nVtWsOp/rldGhbvjOcOZdXQ8deXF5duTPd1Bf/BpOQ7+o5hW8decF34dDv7IEDooZ9ugnhG3NSDjgH8HPx3nyAXjAIibuMQGws+8wc6xeOoQ9dSzeG9tibDqdjyxm6jmFeje3La8d1kOzOYbIb+sgw2BcOEeGd0yyI/DCIc3/JvQS/C44CL2uUIKpQS4w24guRzv8PAAD//wMAUEsDBBQABgAIAAAAIQBlzx0XVgEAAIkCAAARAAgBZG9jUHJvcHMvY29yZS54bWwgogQBKKAAAQ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Mkl1PgzAYhe9N/A9N76GwDycNsMSPXbnEZBiNd037jqG0kLbK9u8tsCFmJnrZnvM+PedN4+VelugTtCkqleDQDzACxStRqDzBT9nKu8bIWKYEKysFCT6Awcv08iLmNeWVhkdd1aBtAQY5kjKU1wneWVtTQgzfgWTGdw7lxG2lJbPuqHNSM/7OciCTILgiEiwTzDLSAr16IOIjUvABWX/osgMITqAECcoaEvoh+fZa0NL8OtApI6cs7KF2nY5xx2zBe3Fw700xGJum8ZtpF8PlD8nL+mHTVfUK1e6KA05jwSnXwGyl04ypN4Y2lRKgIc9BIw/d710axcqYjIztUktm7Nrtf1uAuDn8MXvud+92NfvHQSAXnPY1T8rz9PYuW+F0EoQLL4i8YJYFEZ1HdLJ4beP8mG+L9BfyGOo/xEUWzOl8QWfRiHgCpDE5+zzpFwAAAP//AwBQSwMEFAAGAAgAAAAhADE/+khOAQAAuBcAACcAAAB4bC9wcmludGVyU2V0dGluZ3MvcHJpbnRlclNldHRpbmdzMS5iaW7smMFKw0AQhv8kglEP3jx7Uy9txZ7SU2lQkFoDptDDXoKJGEibkgZzE3wNn8YH6QMUXyL+u9aDEFREL2V2yezuzL+z5AuBZcaYIUWAgnaGEoc4xg0iPCDhPICPc5wYb0FPTJUeb6lMoJu1FWOJ5YFTP8HCDp73um7M2T4mts1xYjtU9dE16r819jfpjtbxlbNytv/hfEkpBH5LwA8G/aa9VVW1evdlOffa7d5dmiV6nEZpVuae8S9MwMSFvhAQAkJACAgBISAEfkLgpa5rrbP4NF1APu7UOq5bbLSW0ecu8LornIWAENhEAk3/vnxpISAEhIAQ+JrAAB4UxliwLlrQKoS8X41wSfuIU7RYVb3mWnE9Z/dZYy35KAyRs54aITN7EkwZVThDZx2rTN7PVVp9kq7NDnHBvCH7iCeEuKJX2iYTcDvvb/cGAAD//wMAUEsDBBQABgAIAAAAIQCtaqdRlQEAABs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SzW7bMBCE7wX6DgLvMeX0B4VBMTDstinaIgakJGeWWllEKJLgbgS7T19Kgh257Sm33dnB8OOS4ubQ2ayHiMa7gi0XOcvAaV8bty/YffXl6hPLkJSrlfUOCnYEZDfy7Ruxiz5AJAOYpQiHBWuJwopz1C10Chdp7NKk8bFTlNq4575pjIat188dOOLXef6Rw4HA1VBfhXMgmxJXPb02tPZ64MOH6hgSsBTrEKzRitIt5U+jo0ffUPb5oMEKPh+KRFeCfo6GjjIXfN6KUisLmxQsG2URBH8RxC2oYWk7ZSJK0dOqB00+Zmh+p7Vds+yXQhhwCtaraJSjhDXYpmasbUCK8tHHJ2wBCAVPhkkcy7l3Xpv3cjkaUnFpHAImkDS4RKwMWcC7Zqci/Yd4OSceGSbeCacc+KYz53zjldNJf2VvfBeUO8ry+7ftulpn66+CnzTxw7gnvA+V3yqC02IvRVG2KkKd3uK8+LMgbtNOox1CNq1ye6hPnn8Hwzd4mP66XH5Y5O/y9MIzTfCXXy3/AAAA//8DAFBLAQItABQABgAIAAAAIQC/5XFQcgEAAGYEAAATAAAAAAAAAAAAAAAAAAAAAABbQ29udGVudF9UeXBlc10ueG1sUEsBAi0AFAAGAAgAAAAhALVVMCP0AAAATAIAAAsAAAAAAAAAAAAAAAAAqwMAAF9yZWxzLy5yZWxzUEsBAi0AFAAGAAgAAAAhAI2H2nDgAAAALQIAABoAAAAAAAAAAAAAAAAA0AYAAHhsL19yZWxzL3dvcmtib29rLnhtbC5yZWxzUEsBAi0AFAAGAAgAAAAhACAzL9k7AgAAmQQAAA8AAAAAAAAAAAAAAAAA8AgAAHhsL3dvcmtib29rLnhtbFBLAQItABQABgAIAAAAIQA7bTJLwQAAAEIBAAAjAAAAAAAAAAAAAAAAAFgLAAB4bC93b3Jrc2hlZXRzL19yZWxzL3NoZWV0MS54bWwucmVsc1BLAQItABQABgAIAAAAIQCLgm5YkwYAAI4aAAATAAAAAAAAAAAAAAAAAFoMAAB4bC90aGVtZS90aGVtZTEueG1sUEsBAi0AFAAGAAgAAAAhAJWUm1mIBAAAzRYAABgAAAAAAAAAAAAAAAAAHhMAAHhsL3dvcmtzaGVldHMvc2hlZXQxLnhtbFBLAQItABQABgAIAAAAIQC5Dh8cMA4AAFZpAAANAAAAAAAAAAAAAAAAANwXAAB4bC9zdHlsZXMueG1sUEsBAi0AFAAGAAgAAAAhAGXPHRdWAQAAiQIAABEAAAAAAAAAAAAAAAAANyYAAGRvY1Byb3BzL2NvcmUueG1sUEsBAi0AFAAGAAgAAAAhADE/+khOAQAAuBcAACcAAAAAAAAAAAAAAAAAxCgAAHhsL3ByaW50ZXJTZXR0aW5ncy9wcmludGVyU2V0dGluZ3MxLmJpblBLAQItABQABgAIAAAAIQCtaqdRlQEAABsDAAAQAAAAAAAAAAAAAAAAAFcqAABkb2NQcm9wcy9hcHAueG1sUEsFBgAAAAALAAsA5AIAACItAAAAAA==</bi>
                        <ref key="applyFirst" refId="1138"/>
                        <m key="rules" refId="1243" keid="SYS_STR" veid="System.Collections.IList">
                          <key>
                            <s>46524D4F424A-45-464F52----524F5753-464F52-56414C554553-234E2F41</s>
                          </key>
                          <val>
                            <l refId="1244" ln="1">
                              <be refId="1245" clsId="StyleRule">
                                <be key="ruleCondition" refId="1246" clsId="StyleRuleCondition">
                                  <b key="trailing">N</b>
                                  <b key="leading">N</b>
                                </be>
                                <s key="codStile">Style6</s>
                              </be>
                            </l>
                          </val>
                          <key>
                            <s>46524D4F424A-45-464F52----524F5753-464F52-48454144455253-234E2F41</s>
                          </key>
                          <val>
                            <l refId="1247" ln="1">
                              <be refId="1248" clsId="StyleRule">
                                <be key="ruleCondition" refId="1249" clsId="StyleRuleCondition">
                                  <b key="trailing">N</b>
                                  <b key="leading">N</b>
                                </be>
                                <s key="codStile">Style3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250" ln="1">
                              <be refId="1251" clsId="StyleRule">
                                <be key="ruleCondition" refId="1252" clsId="StyleRuleCondition">
                                  <b key="trailing">N</b>
                                  <b key="leading">N</b>
                                </be>
                                <s key="codStile">Style6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1253" ln="1">
                              <be refId="1254" clsId="StyleRule">
                                <be key="ruleCondition" refId="1255" clsId="StyleRuleCondition">
                                  <b key="trailing">N</b>
                                  <b key="leading">N</b>
                                </be>
                                <s key="codStile">Style3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196</s>
                    </key>
                    <val>
                      <be refId="1256" clsId="StyleSheet">
                        <be key="version" refId="1257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bi key="blob" ln="12454">UEsDBBQABgAIAAAAIQC/5XFQcgEAAGYE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slE1PwkAQhu8m/odmr6Zd8GCMoXBQPCqJ+AOW3YFu2K/sLFj+vdPykWigSPDSpp3O+8zbmdnBqLYmW0NE7V3J+kWPZeCkV9otSvY5fc0fWYZJOCWMd1CyDSAbDW9vBtNNAMwo22HJqpTCE+coK7ACCx/AUWTuoxWJHuOCByGXYgH8vtd74NK7BC7lqdFgw8ELzMXKpGxc0+ttJTPtWPa8/a5BlUyEYLQUiQrla6d+QXI/n2sJysuVJekCQwShsAJI1hQhaiLGD0iJjCHjR5kRDF4G3bkqKLMtDCsd8I6snyA0kdOudnnv1I6oFWQTEdObsOSd14Z/+biceb8sukWaX2Mxh1qCKVr/hRUy+rETMwMUE9rtK+wgtZnI21v/D8ifLe/uRuOkFT5TR6JpAt5ery+hlTkDxLQxgP/sdivaRaahnUQfkPYiwuX0/RA22XkgIYhJw2EMjzX5QKSlutouNFurQB1h8/aUGH4D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jYfacOAAAAAtAg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HLasMwEEX3hf6DmH09dgqllMjZlEK2xf0AIY8fxJaEZpLWf1/hgt1ASDbZCK4G3XMkbXc/46BOFLn3TkOR5aDIWV/3rtXwVX08vYJiMa42g3ekYSKGXfn4sP2kwUg6xF0fWKUWxxo6kfCGyLaj0XDmA7k0aXwcjaQYWwzGHkxLuMnzF4z/O6A861T7WkPc18+gqikk8u1u3zS9pXdvjyM5uYBAlmlIF1CViS2Jhr+cJUfAy/jNPfGSnoVW+hxxXotrDsU9Hb59PHBHJKvHssU4TxYZPPvk8hcAAP//AwBQSwMEFAAGAAgAAAAhACAzL9k7AgAAmQQAAA8AAAB4bC93b3JrYm9vay54bWysVMlu2zAQvRfoPwi821osJY4gKYiXogaKIkizXHKhqZHFmotKUrXTov/ekVS1aX1J0V5Ecki+mffeUNnlUQrvMxjLtcpJOA2IB4rpkqtdTu5u30zmxLOOqpIKrSAnT2DJZfH6VXbQZr/Veu8hgLI5qZ1rUt+3rAZJ7VQ3oHCn0kZSh0uz821jgJa2BnBS+FEQnPmSckUGhNS8BENXFWew0qyVoNwAYkBQh+Xbmjd2RJPsJXCSmn3bTJiWDUJsueDuqQclnmTpZqe0oVuBtI9hMiLj9ARacma01ZWbIpQ/FHnCNwz8MBwoF1nFBdwPsnu0ad5T2WURxBPUunXJHZQ5OcOlPsBvAdM2i5YL3A3jOAqIX/y04tp4JVS0Fe4WTRjh8WAyi6KoO4mkroQDo6iDpVYONfyh/r/q1WMva43ueDfwqeUGsCk62YoMv5SldGuvqau91oicLNPHO4v0H7G1PtKp1aoEA7sdmMdnOtNTE/9Caco6yj5yHuoa5n/yL7Kui+85HOwvJbulJ7nikn/pjAixqAeuSn3ICb6Qp2fzQx9+4KWrcxLN5wHuD7G3wHe1w8tRPEv6Up5l6p8BZuxHT/X2f+ieBqbqY5shrUk5TsymDHuE8RqjgqHd3dAfTKIk7E/A0b2zrshwRKV5Tr6GcXB1HlzEk2A9Sybx/CKazONZNFnGq2idnK9X60Xy7f82Nxqejv+HrsqaGndrKNvjX+UGqgW12OwDIawTfRmr9sdbxXcAAAD//wMAUEsDBBQABgAIAAAAIQA7bTJLwQAAAEIBAAAjAAAAeGwvd29ya3NoZWV0cy9fcmVscy9zaGVldDEueG1sLnJlbHOEj8GKwjAURfcD/kN4e5PWhQxDUzciuFXnA2L62gbbl5D3FP17sxxlwOXlcM/lNpv7PKkbZg6RLNS6AoXkYxdosPB72i2/QbE46twUCS08kGHTLr6aA05OSonHkFgVC7GFUST9GMN+xNmxjgmpkD7m2UmJeTDJ+Ysb0Kyqam3yXwe0L0617yzkfVeDOj1SWf7sjn0fPG6jv85I8s+ESTmQYD6iSDnIRe3ygGJB63f2nmt9DgSmbczL8/YJAAD//wMAUEsDBBQABgAIAAAAIQCLgm5YkwYAAI4aAAATAAAAeGwvdGhlbWUvdGhlbWUxLnhtbOxZz4sbNxS+F/o/DHN3/GtmbC/xBntsZ9vsJiHrpOSotWWPspqRGcm7MSFQkmOhUJqWXgq99VDaBhLoJf1rtk1pU8i/0CfN2COt5W6abiAtWcMyo/n09Om9N9+TNBcv3Y2pc4RTTljSdqsXKq6DkxEbk2Tadm8OB6Wm63CBkjGiLMFtd4G5e2n7/fcuoi0R4Rg70D/hW6jtRkLMtsplPoJmxC+wGU7g2YSlMRJwm07L4xQdg92YlmuVSlCOEUlcJ0ExmL02mZARdobSpLu9NN6ncJsILhtGNN2XprHRQ2HHh1WJ4Ase0tQ5QrTtwjhjdjzEd4XrUMQFPGi7FfXnlrcvltFW3omKDX21fgP1l/fLO4wPa2rMdHqwGtTzfC/orOwrABXruH6jH/SDlT0FQKMRzDTjotv0u61uz8+xGii7tNjuNXr1qoHX7NfXOHd8+TPwCpTZ99bwg0EIXjTwCpThfYtPGrXQM/AKlOGDNXyj0ul5DQOvQBElyeEauuIH9XA52xVkwuiOFd7yvUGjlhsvUJANq+ySQ0xYIjblWozusHQAAAmkSJDEEYsZnqARZHGIKDlIibNLphEk3gwljENzpVYZVOrwX/48daU8grYw0npLXsCErzVJPg4fpWQm2u6HYNXVIC+fff/y2RPn5bPHJw+enjz46eThw5MHP2a2jI47KJnqHV98+9mfX3/s/PHkmxePvrDjuY7/9YdPfvn5czsQJlt44fmXj397+vj5V5/+/t0jC7yTogMdPiQx5s5VfOzcYDHMTXnBZI4P0n/WYxghYvRAEdi2mO6LyABeXSBqw3Wx6bxbKQiMDXh5fsfguh+lc0EsI1+JYgO4xxjtstTqgCtyLM3Dw3kytQ+eznXcDYSObGOHKDFC25/PQFmJzWQYYYPmdYoSgaY4wcKRz9ghxpbZ3SbE8OseGaWMs4lwbhOni4jVJUNyYCRS0WmHxBCXhY0ghNrwzd4tp8uobdY9fGQi4YVA1EJ+iKnhxstoLlBsMzlEMdUdvotEZCO5v0hHOq7PBUR6iilz+mPMua3PtRTmqwX9CoiLPex7dBGbyFSQQ5vNXcSYjuyxwzBC8czKmSSRjv2AH0KKIuc6Ezb4HjPfEHkPcUDJxnDfItgI99lCcBN0VadUJIh8Mk8tsbyMmfk+LugEYaUyIPuGmsckOVPaT4m6/07Us6p0WtQ7KbG+WjunpHwT7j8o4D00T65jeGfWC9g7/X6n3+7/Xr83vcvnr9qFUIOGF6t1tXaPNy7dJ4TSfbGgeJer1TuH8jQeQKPaVqi95WorN4vgMt8oGLhpilQfJ2XiIyKi/QjNYIlfVRvRKc9NT7kzYxxW/qpZbYnxKdtq/zCP99g427FWq3J3mokHR6Jor/irdthtiAwdNIpd2Mq82tdO1W55SUD2/ScktMFMEnULicayEaLwdyTUzM6FRcvCoinNL0O1jOLKFUBtFRVYPzmw6mq7vpedBMCmClE8lnHKDgWW0ZXBOddIb3Im1TMAFhPLDCgi3ZJcN05Pzi5LtVeItEFCSzeThJaGERrjPDv1o5PzjHWrCKlBT7pi+TYUNBrNNxFrKSKntIEmulLQxDluu0Hdh9OxEZq13Qns/OEynkHucLnuRXQKx2cjkWYv/Osoyyzlood4lDlciU6mBjEROHUoiduunP4qG2iiNERxq9ZAEN5aci2QlbeNHATdDDKeTPBI6GHXWqSns1tQ+EwrrE9V99cHy55sDuHej8bHzgGdpzcQpJjfqEoHjgmHA6Bq5s0xgRPNlZAV+XeqMOWyqx8pqhzK2hGdRSivKLqYZ3Alois66m7lA+0unzM4dN2FB1NZYP911T27VEvPaaJZ1ExDVWTVtIvpmyvyGquiiBqsMulW2wZeaF1rqXWQqNYqcUbVfYWCoFErBjOoScbrMiw1O281qZ3jgkDzRLDBb6saYfXE61Z+6Hc6a2WBWK4rVeKrTx/61wl2cAfEowfnwHMquAolfHtIESz6spPkTDbgFbkr8jUiXDnzlLTdexW/44U1PyxVmn6/5NW9Sqnpd+qlju/Xq32/Wul1a/ehsIgorvrZZ5cBnEfRRf7xRbWvfYCJl0duF0YsLjP1gaWsiKsPMNXa5g8wDgHRuRfUBq16qxuUWvXOoOT1us1SKwy6pV4QNnqDXug3W4P7rnOkwF6nHnpBv1kKqmFY8oKKpN9slRperdbxGp1m3+vcz5cxMPNMPnJfgHsVr+2/AAAA//8DAFBLAwQUAAYACAAAACEA683Sy5kEAABdFwAAGAAAAHhsL3dvcmtzaGVldHMvc2hlZXQxLnhtbKxYTW/jNhC9F+h/EHhfy/qwkxiWF2mDRXMoUDTb3hmZtoVIokoxm01/fR+HtterEbZmnJuUjN+QM+/NjGb58WtTR1+U6SvdFiKZTEWk2lKvq3ZbiL8+f/pwLaLeynYta92qQryqXnxc/fzT8kWbp36nlI2A0PaF2FnbLeK4L3eqkf1Ed6rFfzbaNNLi1WzjvjNKrulHTR2n0+k8bmTVCo+wMOdg6M2mKtWdLp8b1VoPYlQtLc7f76quP6A15TlwjTRPz92HUjcdIB6rurKvBCqiplzcb1tt5GONe39NclkesOmFwTdVaXSvN3YCuNgflN/5Jr6JgbRarivcwIU9MmpTiNtkcTvPRLxaUoD+rtRLf/IcWfn4oGpVWrVGnkTk4v+o9ZMzvMefpoDsycBBytJWX9Svqq6BDNio/8d78S7io4/V8tvzwd8nytkfJlqrjXyu7Z/65TdVbXcWjmeIgQvFYv16p/oSOYDrSTo7HvxOWrlaGv0SIZ84Z99Jx45kgefxX66WpbO9dcbuJwhBjN8fQdIQEGdciPyaobgYnH0UZ1yIbMpQ8hAUZwyUnKEgiOefxRnjRjcMZR6C4oyBkjKUqxAUZ1yIGY+LqxJnR9cZA4XH5SYExRmDLhwlQQ0LYJ2zJmIPeZeEsdfTN79iEU6CCEzWhUh5jJMgCpM17jXn5wkiMQJM8Rm5VxCNXeVwDKQS952+ccSQfO2ZPHKvIConnstcEEkQl8kaIudRDiJz4tnMyQweBASHrCEtXkODuJx6LvMQp2G12Bdjzpw0iMlkXQhe0tMgIpN1IXgdRfMKCbHnMYoM61NBPE49j1FkGE4Qj9N9TR7J+YDIvn9PrnABu6vKp1+0a+ijXTnDMOGbcrov1iPHHBCc4OeTA/pn3RF6gCuvgRmnHRrxdxka3uTg68fzBaFAHJyP2UAdb4oUgQB+ZPQYqObiSGVeWDPO5WygrDdGys8/c85xDDMhY5TvHXNOnixIc2RdiDkv1lmQ5sgaKRrBCdJc5jWX83KdBTUPskbzGMljUPcAAE2avAbkQe2DrHEenq88qH+QNWYYrjQMoD9U8lk1iUAAP3LMMfpfUpMwrtD0w0WN5PObXOTKiwU5GDaEfCCWi+sHASLPvNLmAz1d7sq3OVQsdquB5C53tZ/oRnI11gkvypXvivuP6dOPVXynvTMt9l2RT5j4DGOu3ORGHffs9js7tnrCw4TOq8hsrD9ef5sk3uJs/7nENYzq/L4RJECwnVejWdAcStbAGclEUFfEh6+rKSmv+rMxoc8CJzYCATxXHCardxijCAX4I2EIaqKYw6hpcblihArZj3gtYrwfVhjMRyE4+4XCyKJlTGhI4v+NtvlRWpikKOVcWpiNuIjzcGmd+PLKwvfFMB6Yn95XWQSIKZ9TjVaOJwuht82hhAL8E6r5baVfMnZyq36XZlu1fVSrDW0iQSrjV5XTCZ6t+wrBE4T1qK3VzeFth020wtZxOkEN2GhtDy8ImsN9UPa5izrZKfNQ/YsFMNihTYV9J62aC9FpY42sLPwtKuxfzf3a17LjYnz1HwAAAP//AwBQSwMEFAAGAAgAAAAhAPX4ZlyoDgAAoG4AAA0AAAB4bC9zdHlsZXMueG1szF39btvIEf+/QN+BUHDFXVBZpEjqw2c7tWWrDZCmAeKiBXpFQEu0zQtFuhSV2lf0nz5Pn6pP0tkP7s5SuyRlU6JhBJEozs7sb2ZnZ2eWy5N3j6vY+hZm6yhNTnvOkd2zwmSRLqPk7rT35+t5f9Kz1nmQLIM4TcLT3lO47r07+/WvTtb5Uxx+vg/D3IImkvVp7z7PH44Hg/XiPlwF66P0IUzgl9s0WwU5fM3uBuuHLAyWa0K0igdD2x4NVkGU9FgLx6tFk0ZWQfZ189BfpKuHII9uojjKn2hbPWu1OH5/l6RZcBODqI+OFyyKtumXreZX0SJL1+ltfgTNDdLb22gRbks5HUwH0NLZSbJZzVf52lqkmyQ/7Y3EJYv98n4JEI68nsU6PUuXIMaX73/zj02a//i///yXfXhrvfntmzf2lx9+1Pz00/f0x5+0PzL6PvuP0v/uyw+9QSGYIoVflgKzfWthPm+tXRoeNevekV3dQ/i9QSffvavp5tjQzYK96GnBr9TZWgZg/1ibVDswSvSgT9Wb7SP7O3LngBvO2cltmkj7GYKlULs8/pqk/0zm5DcwILAqctvZyfoX61sQwxWHNLJI4zSzchhcYFT0ShKsQnbHLIijmywit90Gqyh+YpeH5AIdj/y+VQSjg0rEOHTEZ7LVH5cCWu6P9SG6u8/rexX8rOnVDel7gaDfkOMzEVR40b4o2tL3rg1e25bRKi+dBWZ3N6e9+Ryct2OzcbBHM+TMpjMb+GltpEWbF8xG/sF65s7d+bjVnim2iOyD944wdOdtQlnDcH4+vjwYnO0zM/WOO+JDjQAy4NpFMcL+cdtOxnPydwg7OfCUtheNbc9oEEjnEYkS+97RdDqZus7EHzqjievZ7lWfzsxy/r4O7tNVoHVlAzxTK8ZIO7L/qAB1jbsQz/O90blqGk17UMwo24C1GtJgoPbMytyjkqXVQ0R1vYYYLopjscpwyTKDXDk7gQVPHmbJHL5Y/PP10wOEgwmszYg+Buy+mrvvsuDJGdKQqBnBOo2jJZHibkaDUG4Hs9HVfHZF+SLJmkphaHQ+n4330OjVxXTWvqSz6bTtRodz+Gu50XOf/LXefVBVa5jyScBrS0jRHvfC9tF4Cm4YHPBkMvVcx/MoyDfcoqNkGT6GsHwftQbTtgQ+SDB1J9PREASxvQlldVAJXBBg7PsT35kOPfhHfe7+JWgbU8htsLm1M60iCTrSKpKgI63SVcugBc/PRwokljrWKpKgI60iCTrS6rhlDwwJuo61iiToSKtIgo60SmPgFscqZEU71iqSoCOtIgk60mprwSf3wJC+7lirSIKOtIokOLRW+bLKn5I/4oa3I7PW4mPO69KeXbHV1v55kYUNW9rswouuUGFNfJNmSyhTFrU3x4f1KLt2dhKHtznAlZFqAfyfpw8EvDTPoah3drKMgrs0CWKyPi4oGlBC2RMqnKe9/D5afAVmSqaF6YGx2BcHMRY9snLxxp499vzhiC0OW2K9CpfRZrXdO8FbOwYARoJtfccRholgwk1PJhgHRH9cfQ0pqKqpphsSgE0UJtGQoo0+ymR70z4iimZ9RAQN+4goWrKiZbqBintZwfP5xLbpCnNne9E3WI1mLc02nrUkGkRradqwm4sh+aOReMOxgSia2Q0iaGg3iOJ5dqMdeEripx5v5fYXQS0KOLV5+tqxu0NTUjm7TFFVyDUoNOynAy8Vqs7sdkB1V0NYBrAJiWS02aRe5LNJiY0m7fcLWC133TCok/gQENQKrnGxdXIfoq8Qwm2FHzIabTo1I4pmLhYRNHSxiKJKnzyMhah4EcbxZxKn/vVWbktzwbAfb9FuMHARpIpItqeRj1A+4h9ZGMy+gD9SiJwR3VvFyBwjmRU8PMRPZO8SbZx9Aw7y2wWN3OX38zi6S1YhJviUpXm4yOkeRDoAS5LQzWyvQhK6++1VSEK3Gb4CSeiet1cgBzLyYY21ftysbsJsTnem7s1qkTyuQR4YVXS8NJFn51GD+BNT0Q16wOkg/Mnw1fEHXDrlDxA15v9iL4b0QZwIxwNUgJ1wlTxtSkBcO5cAlNCFBGRfLZcAzLMLCYjj4hKAgUoJQJwKq3jJOHTQ7As2IFkC/32xRDO3wnKPvTS5X+B/kOHuIH8Lhi5hhi/7gtnkYrtyMUjtMNIkBPClSgdKGPciUzf5/M4AQU4XZJCIgBs4jFUinws8u/B4yCiIK+paBBCnExGQIpyO5l8Hy9DRDIytoaMpGIugzMHVXqLNSEjRhDJDdiSDMmMdUAYZDTnKjNGNCF15SDQuh125SCxDVz4SrVC6cpFIhK48JNZEVy4Sy9CVj0Sq6MpFIhG68pBYE125SCxD91Gk230U6b6CKNLtykWiJIqr+EgI789O4KFglmi37tMs+gXWduRp4gVk3sOsRx76z6MFukL2xzzemksHQ2Ma0xQitC6Cg3I2bskhm5iRAvpzeotyNSUr35GTRR4uINUOtheiCmLcP4UprFPa6B88/iBLQbD7XyYBFTArrIdWvprCqbIzAbp3bq4ybcLT9CYoX9A5U87L8drihuosJDLVJtTbgxJz685OSpozO7UdNYd7Z9RcS3ZCdMWLr2RhpddbTSWkorpam6Rr3wnjWUcdWjXJPaUbOy/iX8GExjKF+4N8gOv5rLqPC/vEl+xe2Lceb/UVfoNlbkUSvAFv3H5MUZWRZGLDISnlnQlYbpS1KC/QOD199MGEGuZfDukZPcR2zfgPy0Egp6ePSTXgPyyvrBi9t70fQt//rVic0zfGrxxIc/zow3tN8CsvTjk93cnehL68nOH40QNNmuBXThJwevpAk5G+oirA5a/Wf0Xdh9FDSFdlPxUBbTHspq2EfshojOED3MOE9s0zrSGcrgtyG4eChQRkE5N+AdNOCLoVFBaMWwvY8PapiookNxN9YY4uGRTjxdttUBhYLifzVvWF5e1Wmy8MCpjMC5Id9YNhqihW8w7pa8jbHcI+EkV4yhwBbfFWi8IwOVmBr9NMHqNi3wJvbNthGXRWLsxyh6MPooq9QmynXaVdmCJaEIMPb17yLNpiYU0RkFWCWdt2oSBza8rGQpTPUvw3ORqNhi2kQqepzxZwVLHBO+RQOVqZp6EdPk9qMSkMYgeEKraV8B5tz8jOqOl6q9CgORZ7wfAzJheFNjz9QqWJNvDOyVptFGxUC32GNhCn8iYfro1iuDVt3DiTbS1WC11N2prKsKs0lgWErlz9zoYmusL7bWt1VQzQvekKjIHpquhQAzdtzt4Zl0PqhmdjEU7ia5pc65yFyqgW37LnZ80/YyygWFUZC6BAhm8RgzTA15yJJbuvWHMjMbTowl/0g0+yW4tpc8JllxyuOj4r8nLF8CRPkrYSaRqGJ9lhoOwuZOiQwsWzJjYU2qCwUk3EFCqoC2zUiacirViARQ6jagEsHJ6hCRMuS6TIzM/jlXYsAy+BqmoZPCAwu+3dSigqxhXpxqK35gXfTnO7AWN1mhJLvpHezcj4ak/D1ZDMUJIRMvwoXG7D6NK8zUo0OSyGiLoJv36WRIKb9nOL4BJqDrvE2PXGCU+BH1QfBCWND/OaBBMmt6jE4XATX/6YVni7zapo+nbK+565/61eZ1VZGA6PcJyguC8ZJ8CnZ65gTAGfsowV0LmmHMKzoRsqS1Q5DJ+/JjNAp1bQJaPWjUFJMkon8NxlDfZe9YGyPgJSLI1WACDnjx7tUx/sExUCixwfetob2t9Zfet8QeYk4W/IyeI3myiG01xI6h9Sw5CDrKIUUy3VOKKka9UqShHtURUiSnbsZvF8okZaOUDIAJWU7GS+Kp6ANJ+jyYhDlDTXXkUpUj6eihAkPDUIeVpsSaSF+smOzi31E1NKbInxIUp2KHkFpcSW5EYQJc0pl/uJeUpsieNGCLHDySt4SmzJFIwoaR69iqfEVkXI1yI00mKrWgKrvZR5YkqBLa1+IIS0loApJbaqJbB6SxVPiS3xjggh7VjBPCW2ZO5DlNqxgikltipCPq1OlKUtewPVeoZa62E00lZVu4GaoGZ8MBqJpGoxrtZiGI2yiMZIaG2F0Qj0SGID02jHEaORuKkYeFoMLoIlTjsiHhD/aPoPr11YbGJ4C0lK3mHC0pWqfqAoqKO7DxdfrRmMQkGmmhJstdKRpSs4JLpgpHoE4/3W3+y/i9hKodEOkdkmy+AFME8FSQk2LRtOgjmpY0oL3tXjQxwkQZ5mT9Z1+JgLIVUr8rVQ/D5NpapUAqijarD7A7x4Bt5pY4kpUrVviBEriHCCBBkFrC4qiHDWChNpx3ohnhgX9Pkc6SFYFbE8zt8nDxuBG+w0wqMCinwa4T5EyddwqZqeigSrt5c5fQw3eRZIcy15FG2fPpLnqwWJOlNrhfsIhwAIK1DvBzg0vfnTJscAqNMOO9y23JFPYUYiJZFZUDDTOhJ6vIL9hWiIbJvkgYdW9fRWYWGeFhV2j1h2+xUNiZb8ipZkkkTr0hg7nJLT4MhuErYHqQDjTcIJs3PIyvDSloRIei9L7xES6SMveo8QSB9B0HuEPPqZkN4jJgG9L6H3iEWUr53F6T3go3k+ymwossam9SjXUQ4HZRX5UcX44EQ7DerXKWzaFYNCDRvYEe5lFfwlyBLi6bBPJdla7IPYTlRBCauN5aM8QISOtZy8RIt2W6w/wGiX4W2wifNr8eNpT37+Iz1MDmTkd32KvqU5beK0Jz/Td/pwf0tOkwfmq2xDD5Ynqx58wLw8DkW5LN8/oFyWZxkql+VxigPEZ0DvAYYw83xYw+lz8L+1yaLT3r+uLsbTy6v5sD+xLyZ9zw39/tS/uOz73uzi8nI+tYf27N+gEvLWs2N4f9ML3ipG334Ge7oc73gdw7vHMg44B/CzvHbaQ18YhMRcBiA2ln06HNnnvmP3567t9L1RMOlPRq7fn/vO8HLkXVz5cx/J7j9PdsceOA57dRsR3j/Oo1UYR0lhL4WV4KtgKPC1ohOkK1QTg7V4tdzZ/wEAAP//AwBQSwMEFAAGAAgAAAAhAAjzU2dWAQAAiQIAABEACAFkb2NQcm9wcy9jb3Jl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IySX0/DIBTF3038DoT3ltJN50jbJf7Zk0tMrNH4RuCuqxbaALrt20vbrdbMRB/hnPvjnBuSxU5V6BOMLWudYhpGGIEWtSx1keKnfBlcYWQd15JXtYYU78HiRXZ+loiGidrAg6kbMK4EizxJWyaaFG+caxghVmxAcRt6h/biujaKO380BWm4eOcFkDiKLokCxyV3nLTAoBmI+ICUYkA2H6bqAFIQqECBdpbQkJJvrwOj7K8DnTJyqtLtG9/pEHfMlqIXB/fOloNxu92G20kXw+en5GV1/9hVDUrd7koAzhIpmDDAXW2ynOs3jh5rLcFAUYBBAbrb+TSaVwkZGdulVty6ld//ugR5vf9j9tTv3+1q9o+DRD4462selefJzW2+xFkc0VkQzYNomkdzdjFn8ey1jfNjvi3SX6hDqH8QaZxTyqYzFk9HxCMgS8jJ58m+AAAA//8DAFBLAwQUAAYACAAAACEAek+mBk8BAAC4FwAAJwAAAHhsL3ByaW50ZXJTZXR0aW5ncy9wcmludGVyU2V0dGluZ3MxLmJpbuyYwUrDQBCG/ySCVQ/ePHjypl5ahV5MT6VBQWoNmEIPuQQTMZA2JV3MTfA1fBofpA9QfIn037U9CEFF9FJml8zuzvw7S74QWGaICVL4KGgnUDjCCe4Q4QkJ5z48XOLUeAt6Yqr0eE9lAt2srRhzzA+c6gUWdvC6127EnO1jZNscR7ZDVRdto/5bY3+T7ngVXzgLZ/sfzpeUQuC3BDy/163bW5Zls/Oo1NRttToPaZbocRylmcpd45+ZgIkLfSEgBISAEBACQkAI/ITAW1VVWmfxqbuArO/UOq5bbLSW0ecN4H1XOAsBIbCJBOr+ffnSQkAICAEh8DWBHlyEGGLGumhBGyLg/WqAa9pnnKPJquot1yHXU3aPNVbFJ0QfOeupETKzJ8GY0RAXq0hpsn6u0epzdGW2jytmDdgHzB/ghl5pm03g8Ozj/ZYAAAD//wMAUEsDBBQABgAIAAAAIQCtaqdRlQEAABsDAAAQAAgBZG9jUHJvcHMvYXBwLnhtbCCiBAEooAAB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ySzW7bMBCE7wX6DgLvMeX0B4VBMTDstinaIgakJGeWWllEKJLgbgS7T19Kgh257Sm33dnB8OOS4ubQ2ayHiMa7gi0XOcvAaV8bty/YffXl6hPLkJSrlfUOCnYEZDfy7Ruxiz5AJAOYpQiHBWuJwopz1C10Chdp7NKk8bFTlNq4575pjIat188dOOLXef6Rw4HA1VBfhXMgmxJXPb02tPZ64MOH6hgSsBTrEKzRitIt5U+jo0ffUPb5oMEKPh+KRFeCfo6GjjIXfN6KUisLmxQsG2URBH8RxC2oYWk7ZSJK0dOqB00+Zmh+p7Vds+yXQhhwCtaraJSjhDXYpmasbUCK8tHHJ2wBCAVPhkkcy7l3Xpv3cjkaUnFpHAImkDS4RKwMWcC7Zqci/Yd4OSceGSbeCacc+KYz53zjldNJf2VvfBeUO8ry+7ftulpn66+CnzTxw7gnvA+V3yqC02IvRVG2KkKd3uK8+LMgbtNOox1CNq1ye6hPnn8Hwzd4mP66XH5Y5O/y9MIzTfCXXy3/AAAA//8DAFBLAQItABQABgAIAAAAIQC/5XFQcgEAAGYEAAATAAAAAAAAAAAAAAAAAAAAAABbQ29udGVudF9UeXBlc10ueG1sUEsBAi0AFAAGAAgAAAAhALVVMCP0AAAATAIAAAsAAAAAAAAAAAAAAAAAqwMAAF9yZWxzLy5yZWxzUEsBAi0AFAAGAAgAAAAhAI2H2nDgAAAALQIAABoAAAAAAAAAAAAAAAAA0AYAAHhsL19yZWxzL3dvcmtib29rLnhtbC5yZWxzUEsBAi0AFAAGAAgAAAAhACAzL9k7AgAAmQQAAA8AAAAAAAAAAAAAAAAA8AgAAHhsL3dvcmtib29rLnhtbFBLAQItABQABgAIAAAAIQA7bTJLwQAAAEIBAAAjAAAAAAAAAAAAAAAAAFgLAAB4bC93b3Jrc2hlZXRzL19yZWxzL3NoZWV0MS54bWwucmVsc1BLAQItABQABgAIAAAAIQCLgm5YkwYAAI4aAAATAAAAAAAAAAAAAAAAAFoMAAB4bC90aGVtZS90aGVtZTEueG1sUEsBAi0AFAAGAAgAAAAhAOvN0suZBAAAXRcAABgAAAAAAAAAAAAAAAAAHhMAAHhsL3dvcmtzaGVldHMvc2hlZXQxLnhtbFBLAQItABQABgAIAAAAIQD1+GZcqA4AAKBuAAANAAAAAAAAAAAAAAAAAO0XAAB4bC9zdHlsZXMueG1sUEsBAi0AFAAGAAgAAAAhAAjzU2dWAQAAiQIAABEAAAAAAAAAAAAAAAAAwCYAAGRvY1Byb3BzL2NvcmUueG1sUEsBAi0AFAAGAAgAAAAhAHpPpgZPAQAAuBcAACcAAAAAAAAAAAAAAAAATSkAAHhsL3ByaW50ZXJTZXR0aW5ncy9wcmludGVyU2V0dGluZ3MxLmJpblBLAQItABQABgAIAAAAIQCtaqdRlQEAABsDAAAQAAAAAAAAAAAAAAAAAOEqAABkb2NQcm9wcy9hcHAueG1sUEsFBgAAAAALAAsA5AIAAKwtAAAAAA==</bi>
                        <ref key="applyFirst" refId="1138"/>
                        <m key="rules" refId="1258" keid="SYS_STR" veid="System.Collections.IList">
                          <key>
                            <s>46524D4F424A-45-48454144455253----434F4C554D4E53-234E2F41-48454144455253-234E2F41</s>
                          </key>
                          <val>
                            <l refId="1259" ln="1">
                              <be refId="1260" clsId="StyleRule">
                                <be key="ruleCondition" refId="1261" clsId="StyleRuleCondition">
                                  <b key="trailing">N</b>
                                  <b key="leading">N</b>
                                </be>
                                <s key="codStile">Style0_Header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134</s>
                    </key>
                    <val>
                      <be refId="1262" clsId="StyleSheet">
                        <be key="version" refId="1263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bi key="blob" ln="12411">UEsDBBQABgAIAAAAIQC/5XFQcgEAAGYEAAATAAgCW0NvbnRlbnRfVHlwZXNdLnhtbCCiBAIooAAC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CslE1PwkAQhu8m/odmr6Zd8GCMoXBQPCqJ+AOW3YFu2K/sLFj+vdPykWigSPDSpp3O+8zbmdnBqLYmW0NE7V3J+kWPZeCkV9otSvY5fc0fWYZJOCWMd1CyDSAbDW9vBtNNAMwo22HJqpTCE+coK7ACCx/AUWTuoxWJHuOCByGXYgH8vtd74NK7BC7lqdFgw8ELzMXKpGxc0+ttJTPtWPa8/a5BlUyEYLQUiQrla6d+QXI/n2sJysuVJekCQwShsAJI1hQhaiLGD0iJjCHjR5kRDF4G3bkqKLMtDCsd8I6snyA0kdOudnnv1I6oFWQTEdObsOSd14Z/+biceb8sukWaX2Mxh1qCKVr/hRUy+rETMwMUE9rtK+wgtZnI21v/D8ifLe/uRuOkFT5TR6JpAt5ery+hlTkDxLQxgP/sdivaRaahnUQfkPYiwuX0/RA22XkgIYhJw2EMjzX5QKSlutouNFurQB1h8/aUGH4DAAD//wMAUEsDBBQABgAIAAAAIQC1VTAj9AAAAEwCAAALAAgCX3JlbHMvLnJlbHMgogQCKKAAAg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JNT8MwDIbvSPyHyPfV3ZAQQkt3QUi7IVR+gEncD7WNoyQb3b8nHBBUGoMDR3+9fvzK2908jerIIfbiNKyLEhQ7I7Z3rYaX+nF1ByomcpZGcazhxBF21fXV9plHSnkodr2PKqu4qKFLyd8jRtPxRLEQzy5XGgkTpRyGFj2ZgVrGTVneYviuAdVCU+2thrC3N6Dqk8+bf9eWpukNP4g5TOzSmRXIc2Jn2a58yGwh9fkaVVNoOWmwYp5yOiJ5X2RswPNEm78T/XwtTpzIUiI0Evgyz0fHJaD1f1q0NPHLnXnENwnDq8jwyYKLH6jeAQAA//8DAFBLAwQUAAYACAAAACEAjYfacOAAAAAtAgAAGgAIAXhsL19yZWxzL3dvcmtib29rLnhtbC5yZWxz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rJHLasMwEEX3hf6DmH09dgqllMjZlEK2xf0AIY8fxJaEZpLWf1/hgt1ASDbZCK4G3XMkbXc/46BOFLn3TkOR5aDIWV/3rtXwVX08vYJiMa42g3ekYSKGXfn4sP2kwUg6xF0fWKUWxxo6kfCGyLaj0XDmA7k0aXwcjaQYWwzGHkxLuMnzF4z/O6A861T7WkPc18+gqikk8u1u3zS9pXdvjyM5uYBAlmlIF1CViS2Jhr+cJUfAy/jNPfGSnoVW+hxxXotrDsU9Hb59PHBHJKvHssU4TxYZPPvk8hcAAP//AwBQSwMEFAAGAAgAAAAhACAzL9k7AgAAmQQAAA8AAAB4bC93b3JrYm9vay54bWysVMlu2zAQvRfoPwi821osJY4gKYiXogaKIkizXHKhqZHFmotKUrXTov/ekVS1aX1J0V5Ecki+mffeUNnlUQrvMxjLtcpJOA2IB4rpkqtdTu5u30zmxLOOqpIKrSAnT2DJZfH6VXbQZr/Veu8hgLI5qZ1rUt+3rAZJ7VQ3oHCn0kZSh0uz821jgJa2BnBS+FEQnPmSckUGhNS8BENXFWew0qyVoNwAYkBQh+Xbmjd2RJPsJXCSmn3bTJiWDUJsueDuqQclnmTpZqe0oVuBtI9hMiLj9ARacma01ZWbIpQ/FHnCNwz8MBwoF1nFBdwPsnu0ad5T2WURxBPUunXJHZQ5OcOlPsBvAdM2i5YL3A3jOAqIX/y04tp4JVS0Fe4WTRjh8WAyi6KoO4mkroQDo6iDpVYONfyh/r/q1WMva43ueDfwqeUGsCk62YoMv5SldGuvqau91oicLNPHO4v0H7G1PtKp1aoEA7sdmMdnOtNTE/9Caco6yj5yHuoa5n/yL7Kui+85HOwvJbulJ7nikn/pjAixqAeuSn3ICb6Qp2fzQx9+4KWrcxLN5wHuD7G3wHe1w8tRPEv6Up5l6p8BZuxHT/X2f+ieBqbqY5shrUk5TsymDHuE8RqjgqHd3dAfTKIk7E/A0b2zrshwRKV5Tr6GcXB1HlzEk2A9Sybx/CKazONZNFnGq2idnK9X60Xy7f82Nxqejv+HrsqaGndrKNvjX+UGqgW12OwDIawTfRmr9sdbxXcAAAD//wMAUEsDBBQABgAIAAAAIQA7bTJLwQAAAEIBAAAjAAAAeGwvd29ya3NoZWV0cy9fcmVscy9zaGVldDEueG1sLnJlbHOEj8GKwjAURfcD/kN4e5PWhQxDUzciuFXnA2L62gbbl5D3FP17sxxlwOXlcM/lNpv7PKkbZg6RLNS6AoXkYxdosPB72i2/QbE46twUCS08kGHTLr6aA05OSonHkFgVC7GFUST9GMN+xNmxjgmpkD7m2UmJeTDJ+Ysb0Kyqam3yXwe0L0617yzkfVeDOj1SWf7sjn0fPG6jv85I8s+ESTmQYD6iSDnIRe3ygGJB63f2nmt9DgSmbczL8/YJAAD//wMAUEsDBBQABgAIAAAAIQCLgm5YkwYAAI4aAAATAAAAeGwvdGhlbWUvdGhlbWUxLnhtbOxZz4sbNxS+F/o/DHN3/GtmbC/xBntsZ9vsJiHrpOSotWWPspqRGcm7MSFQkmOhUJqWXgq99VDaBhLoJf1rtk1pU8i/0CfN2COt5W6abiAtWcMyo/n09Om9N9+TNBcv3Y2pc4RTTljSdqsXKq6DkxEbk2Tadm8OB6Wm63CBkjGiLMFtd4G5e2n7/fcuoi0R4Rg70D/hW6jtRkLMtsplPoJmxC+wGU7g2YSlMRJwm07L4xQdg92YlmuVSlCOEUlcJ0ExmL02mZARdobSpLu9NN6ncJsILhtGNN2XprHRQ2HHh1WJ4Ase0tQ5QrTtwjhjdjzEd4XrUMQFPGi7FfXnlrcvltFW3omKDX21fgP1l/fLO4wPa2rMdHqwGtTzfC/orOwrABXruH6jH/SDlT0FQKMRzDTjotv0u61uz8+xGii7tNjuNXr1qoHX7NfXOHd8+TPwCpTZ99bwg0EIXjTwCpThfYtPGrXQM/AKlOGDNXyj0ul5DQOvQBElyeEauuIH9XA52xVkwuiOFd7yvUGjlhsvUJANq+ySQ0xYIjblWozusHQAAAmkSJDEEYsZnqARZHGIKDlIibNLphEk3gwljENzpVYZVOrwX/48daU8grYw0npLXsCErzVJPg4fpWQm2u6HYNXVIC+fff/y2RPn5bPHJw+enjz46eThw5MHP2a2jI47KJnqHV98+9mfX3/s/PHkmxePvrDjuY7/9YdPfvn5czsQJlt44fmXj397+vj5V5/+/t0jC7yTogMdPiQx5s5VfOzcYDHMTXnBZI4P0n/WYxghYvRAEdi2mO6LyABeXSBqw3Wx6bxbKQiMDXh5fsfguh+lc0EsI1+JYgO4xxjtstTqgCtyLM3Dw3kytQ+eznXcDYSObGOHKDFC25/PQFmJzWQYYYPmdYoSgaY4wcKRz9ghxpbZ3SbE8OseGaWMs4lwbhOni4jVJUNyYCRS0WmHxBCXhY0ghNrwzd4tp8uobdY9fGQi4YVA1EJ+iKnhxstoLlBsMzlEMdUdvotEZCO5v0hHOq7PBUR6iilz+mPMua3PtRTmqwX9CoiLPex7dBGbyFSQQ5vNXcSYjuyxwzBC8czKmSSRjv2AH0KKIuc6Ezb4HjPfEHkPcUDJxnDfItgI99lCcBN0VadUJIh8Mk8tsbyMmfk+LugEYaUyIPuGmsckOVPaT4m6/07Us6p0WtQ7KbG+WjunpHwT7j8o4D00T65jeGfWC9g7/X6n3+7/Xr83vcvnr9qFUIOGF6t1tXaPNy7dJ4TSfbGgeJer1TuH8jQeQKPaVqi95WorN4vgMt8oGLhpilQfJ2XiIyKi/QjNYIlfVRvRKc9NT7kzYxxW/qpZbYnxKdtq/zCP99g427FWq3J3mokHR6Jor/irdthtiAwdNIpd2Mq82tdO1W55SUD2/ScktMFMEnULicayEaLwdyTUzM6FRcvCoinNL0O1jOLKFUBtFRVYPzmw6mq7vpedBMCmClE8lnHKDgWW0ZXBOddIb3Im1TMAFhPLDCgi3ZJcN05Pzi5LtVeItEFCSzeThJaGERrjPDv1o5PzjHWrCKlBT7pi+TYUNBrNNxFrKSKntIEmulLQxDluu0Hdh9OxEZq13Qns/OEynkHucLnuRXQKx2cjkWYv/Osoyyzlood4lDlciU6mBjEROHUoiduunP4qG2iiNERxq9ZAEN5aci2QlbeNHATdDDKeTPBI6GHXWqSns1tQ+EwrrE9V99cHy55sDuHej8bHzgGdpzcQpJjfqEoHjgmHA6Bq5s0xgRPNlZAV+XeqMOWyqx8pqhzK2hGdRSivKLqYZ3Alois66m7lA+0unzM4dN2FB1NZYP911T27VEvPaaJZ1ExDVWTVtIvpmyvyGquiiBqsMulW2wZeaF1rqXWQqNYqcUbVfYWCoFErBjOoScbrMiw1O281qZ3jgkDzRLDBb6saYfXE61Z+6Hc6a2WBWK4rVeKrTx/61wl2cAfEowfnwHMquAolfHtIESz6spPkTDbgFbkr8jUiXDnzlLTdexW/44U1PyxVmn6/5NW9Sqnpd+qlju/Xq32/Wul1a/ehsIgorvrZZ5cBnEfRRf7xRbWvfYCJl0duF0YsLjP1gaWsiKsPMNXa5g8wDgHRuRfUBq16qxuUWvXOoOT1us1SKwy6pV4QNnqDXug3W4P7rnOkwF6nHnpBv1kKqmFY8oKKpN9slRperdbxGp1m3+vcz5cxMPNMPnJfgHsVr+2/AAAA//8DAFBLAwQUAAYACAAAACEAHMYVOpEEAAAVFwAAGAAAAHhsL3dvcmtzaGVldHMvc2hlZXQxLnhtbKxYTW/bOBC9L9D/IOhey/qwkxiWi3SDYnNYYNGkvdMybQuRRC3FNM3++n0c2k6iEVoz9k2yR4/Dmfdmhpx/+llXwQ+pu1I1eRiPxmEgm0KtymaTh9/uv3y8DIPOiGYlKtXIPHyWXfhp8eGP+ZPSD91WShMAoenycGtMO4uirtjKWnQj1coG/6yVroXBq95EXaulWNFHdRUl4/E0qkXZhA5hpo/BUOt1WcgbVTzWsjEORMtKGPjfbcu226PVxTFwtdAPj+3HQtUtIJZlVZpnAg2DupjdbhqlxbLCvn/GmSj22PTC4Ouy0KpTazMCXOQc5Xu+iq4iIC3mqxI7sGEPtFzn4XU8u54mYbSYU4C+l/Kpe/UcGLG8k5UsjFwhT2Fg479U6sEa3uKnMSA7MrCQojDlD/mnrCogAzbo/nWruCWiwxqL+cvzfr0vlLN/dLCSa/FYma/q6S9ZbrYGC08QAxuK2er5RnYFcoClR8nk4PiNMGIx1+opQD7hZ9cKy454hufhLxfzwtpeW2P7CUIQ4fsDiPX+aBBrnIeTMUNJfVCscR6m3JfMB8UaA4Vi82ZHCOLxO7LG2BH3ZeqDYo3zMEtZXC58UKwxfCGavtmRrRJH58gaE5X6mb7yQbHGQJmyHcWoYR6ss9aIzBXH8WOvo2/C8xR7EZissa8L7o8XhWPH4fiS43iROHYszjKO40VjWzlsnAf88SIyEm5xOAURMZ+0OypzPSBgPjCOywPB8eJy7MjMK0XixWWyzkMuCbDSp4Y6KnMGJn6l2NVinvDEi8hknYdcn4kXj8kauuKdAc3LJziOx/FAn/LiceJ4DLmzfudF5GRXkzmTkx6TXf8eXWADZlsWD5+VbeiDXTnFMOGaMoFAtgPU7DGc4KejPfq9agndY6mdCLiY0p4K+jvZr/Xr+YJQ0L34VtDo3zDgXZEiEMBz9aU92ZwcKQLEUlyhaU9a74yU6x0TLt3US3NkDT+5djEUeWiOrFHXBqY6L82luyloIEVemkud5rIBf7y6R+q6B9zq14DUq32QNSZNXkvgokecyRq9lec9O4dCCATwA26eWyGZ6z3oq/3IYgTmWj+lbBEgKuTAYaEnlpN1jyGMThRc96jPZ96Va3OoJyyAPcmdvqvdRDeQq54qT1/KCXc6kKuhZnkSLZy2d+ft1+dZHDVYruyARp3y6LY5ObRowgMBOStwDOasuHyZAN6xGEFiMa5hnFDPS0ECRFXj1QgHUJ8DtKsFaEZ9Kk+8BlGyhj+86k+GhD7xnLQIBNWRKw4Tyy/Hk+PGH0IB/kAYvJooBhwqQlyumEd80uK06K6O3l6PeDVRTCl0IBxIy5DQkKrfjaTZQVqYXAibN2jMIlzEmb+0XtYiROSHyxjl6rzKIkBM55xqdFX46iLnffMjoQD/FdXcLaO7HGzFRv4t9KZsuqCSa7pBBBm0u2Icj/Bs7OkBT2D+Uhmj6v3bFjfIEreF4xG0u1bK7F+gbYt7J81jG7Silfqu/A8Xt8ig0iXuKemKOA9bpY0WpcF6sxL3pvp25brB4UJ78T8AAAD//wMAUEsDBBQABgAIAAAAIQBulB7thQ4AAOBsAAANAAAAeGwvc3R5bGVzLnhtbMwd7W7byPF/gb4DoeCKu6CySInUh89yastWGyBNA8RFC/SKgJZomxeKdCkqta/onz5Pn6pP0tkP7s5SuyQlU6JhBJEozs737Mzscnn27mkVWd+CdB0m8bTjnNgdK4gXyTKM76edP9/Mu+OOtc78eOlHSRxMO8/BuvPu/Ne/Oltnz1Hw+SEIMguGiNfTzkOWPZ72euvFQ7Dy1yfJYxDDL3dJuvIz+Jre99aPaeAv1wRoFfX6tj3srfww7rARTleLOoOs/PTr5rG7SFaPfhbehlGYPdOxOtZqcfr+Pk5S/zYCUp8c11/kY9MvW8OvwkWarJO77ASG6yV3d+Ei2KZy0pv0YKTzs3izmq+ytbVINnE27QzFJYv98n4JIhy6HYsxPUuWQMaX73/zj02S/fi///yXfXhrvfntmzf2lx9+1Pz00/f0x5+0PzL4LvuPwv/uyw+dXk6YQoVXpAKjfWthPG+tXQYe1mPvxC7nEH6vweS7dxVsjgxs5ugFpzm+ArOVCMD+sTapdsBL9EKfqDfbJ/Z35M4eN5zzs7sklvbTB0uhdnn6NU7+Gc/Jb2BAYFXktvOz9S/WNz+CKw4ZZJFESWpl4FxgVPRK7K8CdsfMj8LbNCS33fmrMHpml/vkAvVHft8qBO+gFDEMLeEZb/EzoAIt8mN9CO8fsmqu/J81XN0S3nMJejUx7ilBBRflRdGWnrsmcG1bRqO4dBaY3t9OO/M5BG/HZn5wQDPkyCYzG/BpbaRBmxfIht7ROBvMB/NRo5wptojsg3NHEA7mTYqyAuH8YnR1NHE2j8zEHQ/Ex/IA4nDNSjHE8XHbTkZz8ncMOznylHYQjW3PaJBIZyHJErvuyWQyngycsdd3huOBaw+uu3RmlvP3jf+QrHxtKOvhmVoxRsrI4bMCxBoPIa7rucML1TTqcpDPKNsCazSlwYI6MCozRwVLqxYR1fUacrgwikSVMSBlBrlyfgYFTxak8Ry+WPzzzfMjpIMx1GZEHz12X8Xd96n/7PRpSlQPYJ1E4ZJQcT+jSSi3g9nwej67pngRZXWpMAw6n89GBxj0+nIya57S2WTS9KD9Ofw1POiFR/4aZx9U1ZhM+STgNkWkGI9HYftkNIEwDAF4PJ64A8d1qZBvuUWH8TJ4CqB8HzYmpm0KPKBgMhhPhn0gxHbHFNVRKRgAASPPG3vOpO/CPxpzD09B0zKF3gabW1vTKqKgJa0iClrSKq1aeg1Efu4p0FhqWauIgpa0iihoSaujhiMwNOha1iqioCWtIgpa0irNgRv0VeiKtqxVREFLWkUUtKTVxpJPHoGhfd2yVhEFLWkVUXBsrfKyypuQPxKGtzOzxvJjjuvKnl2zauvwuEhhw0qbXXDRChVq4tskXcIyZb725nhQj7Jr52dRcJeBuFKyWgD/Z8kjEV6SZbCod362DP37JPYjUh/nEDUgYdkTVjinnewhXHwFZEqnhemBoTgUBuGLLqlc3JFrj1yvP2TFYUOoV8Ey3Ky2uRO4tT4AYiSyrWYcyTAWSLjpyQZjj+iPq68mBFU11XRNALCJ3CRqQjTBo2y21+URQdTjEQHU5BFBNGRFy2QDK+5FBc/nY9umFebO9qIfsFyalTDb8qwE0Ui0EqYJu7nskz+aidf0DQRRz24QQE27QRD72Y3W8ZTGT7W8ldtfJGqxgFPZp6/03R2GksrZZYoqk1yNhYbDMPBSoqrMbgepvswelz5sSSL9bTbF591tsuBGW/g9nVlWwTQRBmTGVHf6QBCacPca+KwUdlXA28vZcls9uqp5xgkJ7CKIos8kpfzrndxB1gere7pDG7fAm8mCH9lJRj7CSg//yDJW9gVChwLkDOk2KAbmGMEs//ExeibbjOjg7BtgkN8uaZItv19E4X28CjDApzTJgkVGtwtS7yhQQvedvQpK6Ea1V0EJ3RH4Ciih29NeAR3IyPsV1vpxs7oN0jndRHowq0X0DAz0gFdRf6lDz85eg/ATU9E5PcjpKPiJ++rwg1xaxQ8iqo3/xVEM6YMEES4PUAEOwmX0NEkBCe2cAlBCGxSQLbCcAjDPNigggYtTAAYqKQBySqziJX7ooNkXbECiBPyHQolmbgXlAbk0hV/AfxR3d1C8BUOXYoYvhxKzKcS2FWKQ2sHTpAjgS5kOlDTuRaZuivmtCQQFXaBBSgTCwHGsEsVcwNlGxENGQUJR2yQAOa2QgBThtDT/OpiGlmZgbA0tTcGYBGUOLo8STWZCiiaUGbIlGpQZ64g0yGzIUWaMdkhoK0Iiv+y3FSIxDW3FSFShtBUiEQltRUisibZCJKahrRiJVNFWiEQktBUhsSbaCpGYhvazyEH7WeTgFWSRg7ZCJGqiDJQYCen9+Rk8v8sa7dZDkoa/QG1HHvxdQOc9SDvk+fwsXKArZCvL05156aBvbGOaUoTGSXBQz2ZQCMgmZGTpZx9uUa+mYOU7YrLIcwBktYNtWygTMeZPQeq4Rn3uwh88qSCXgmCjvmwCKsKEZ8NNPNIFwLriVNGZBFpiq81gGyjT5mGYM/W8oBfVjCiJ9PgaHklMtf305iSJFnVKzMQcZA6iuMbQYe6MimvIB5DeSF2l11vFQkzJ4mplj675GIwnHdWzyktFdY145xp+b0Z6eJGcLZnj1XLioLuvlltPd/plc4O+t6ZnPoA7an6iLmvzMbLhkJDicj+mG7UCilUPh6db/01Sw/iLeTKDh4SpHv5+MbPi8PQxoRr4+8VyhcG725sM9PxvJbgcvrb8itkplx99eK2O/IoVH4enO7nrwBdrBC4/eqBHHfkVK28OTx/oqQNfrNW4/GgqZIQvadVz/svtp2QxhsFDnlVmfyVZZu62k0bysTqTOtzDiPbM858hB6zKPGvnZzkFTSUzShqKspmtTC1HbE5/d8w08J6mkmVCbib61bJt48V7YBA7xTVePqp+tXd71PrZei4msvNLX/W9QEwlK8icIf3CbrmPo7xLmWNgLD5qvlpLTibgxZMpYpRsJuCDbQc8g86Kq6U84OhTm3wDD0ttSu3ClGcCGdy9+TpkPhZblczTpFJhVo6dK8g8mrLbDzWZlPhPjhajaQ9ZNtMsmubiKEODt62hNWJlnodx+DyhlUluEDtIqGSvB+doe0Z3hnWroFyD5lzuBe5n7PgJbbj6fVR1tIG3M1ZqI0ejWuge2kCYijtvuDZyd6s7uHEmK8wocjIdHyJUGnv1QlcD/XaDOrrCm2ArdZU76MF0BcbAdJUzVCNMm/oWQiu6vb94xjaujEn5mibXqmChbneulG8x8vNt0Hyq2iEyoVxV8QVQIJNvnoPUkK+5PUoCNhtuKFyLdhUEHwrlqKtgboPs33gsaZbloZQ8idlAJoOrOmQ86rYPYTykWqTTWs15Utk7oFQ60h5zAat7fKv9HVGO8lS135LrtCpTovsOazQPc+GTw6EaFj6agIEzue0HGts51mYsDZdUZQsWPMEwTwO7rZOoyUJJUzHn1lxA7pQrYAPHZau+bzDUhy1p7sz8G3d/Q3NFaY7IdCYP4ft4oVJygV8wNZM2zp75qmn6UaxYujt82hMRnt7xPKdURxKRqTTdO4D1lcpHiA6OtGpYdOpqqVS7qYqs5sggOqX3JYP8/tmywRbIfmMZ0SSiPCzvGvpxZVqd6JVPMHtk56j7pq/KYAVNoxPaZofGOnooTX0kTbThLXJG5bTTt7+zutbFggRaUfGR46tvN2EER4aQ/jo4LjTqyiBFYkPtF0HSgq4MUmSw1CARJDvbMX+yTkOt9EISbiQkO/6tDCeok088JH4gSNrQLoMUfRFXlRB0BTUScrWyJZMC4pOdz1rgE0NK2RJXQpDs5OsSSClb4hsIkjZei3xinFK2JKFCEmInYJfglLIl8wqCpM3qMpxStqqEPK2EhlrZqpbAFjiKODGkkC1dYkAS0loChpSyVS2BLWqU4VRmDywhra9gnFK2JCQg2Wp9BUNK2aoS8mgLv0htMRqo1tPXWg+Dkbaq2g0svGn8g8FISaoWM9BaDIORMlRtxdXaCoMR0iPVP5ae1o8YjJSbKgNXK4NLf4l7cwhHX8sLnO2/2ETwqouEvCiD9fRU/cDKm0Zus4dg8dWagRcKMJI2SIOATUI6sGQFJxHniNSIYLzf+pv99xxGtTqti8w2aQpvGXkWOZ8qai0aDoIxqT6lFd7102Pkx36WpM/WTfCUCSJVK/K0ovh9kkhVqQBQfmpk9wd4uwm8OMUSU6Rq304pEO4iIC1B4VqCCbd2MJDW13PyhF/QJ0ukQbCltqKfv48fN0JupAbEJqSd0T6E8ddgqZqeKgm2qF3E9DHYZKkvzbUQUbQ8fSRPBgsQdabWEvcRHl8XVqDeD+LQiPpPmwwLQA0l7ATVIiOfgpRkSqJcVmSmDST0YAD7C9EQ2fDHEw+t6umtwsJcrVTYPbKDWjKQGMkrGUnYJjuXrMgvQydsEfpWGjmym4TtQX1ruklg0wdQOpBApk+q6D0Clz45oPeIeK+f5Og9Ir7rwwS9RxRhnnaCpvdA+OXrR2YbkGtM2mBxE2Zw0FLeH1TsCk5E0wj0JoGdpMLe1djMjgAvKvMvfhqTIIbDJelW4vDCtkcKSCgklk/yVAuq/oy8hImyLUoLsMdlcOdvouxG/DjtyM9/pIeRAY38rk/htySjQ0w78jN9JwwPpeQ0ckC+Sjf0YHJS0OADyuVpKMpleX69clmehadclsfx9RCeHr0HEMKk8mENp5fB/9YmDaedf11fjiZX1/N+d2xfjrvuIPC6E+/yquu5s8urq/nE7tuzf4NKyFuzTuH9Py94KxV9exbsiXLc03UE765KucC5AD/La9MO+sJESMylB2Rj2if9oX3hOXZ3PrCdrjv0x93xcOB1557Tvxq6l9fe3EO0e/vR7tg9x2Gv/iLEe6dZuAqiMM7tJbcSfBUMBb6WMEFYoZrorcWryc7/DwAA//8DAFBLAwQUAAYACAAAACEARGWhSVYBAACJAgAAEQAIAWRvY1Byb3BzL2NvcmU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jJJfT8MgFMXfTfwOhPcOujm3kbZL/LMnl5isRuMbgbuuWmgDaLdvL223WjMTfYRz7o9zboiWe1WgTzA2L3WMwxHFCLQoZa6zGD+lq2COkXVcS16UGmJ8AIuXyeVFJComSgOPpqzAuBws8iRtmahivHOuYoRYsQPF7cg7tBe3pVHc+aPJSMXFO8+AjCm9Jgocl9xx0gCDqifiI1KKHll9mKIFSEGgAAXaWRKOQvLtdWCU/XWgVQZOlbtD5Tsd4w7ZUnRi797bvDfWdT2qJ20Mnz8kL+uHTVs1yHWzKwE4iaRgwgB3pUlSrt842pRagoEsA4MCdL/3aTQvIjIwNkstuHVrv/9tDvLm8Mfsud+/29bsHgeJfHDW1Twpz5Pbu3SFkzENZwFdBPQqpQs2XbDx7LWJ82O+KdJdqGOofxDDMKVzRqeMhgPiCZBE5OzzJF8AAAD//wMAUEsDBBQABgAIAAAAIQB6T6YGTwEAALgXAAAnAAAAeGwvcHJpbnRlclNldHRpbmdzL3ByaW50ZXJTZXR0aW5nczEuYmlu7JjBSsNAEIb/JIJVD948ePKmXlqFXkxPpUFBag2YQg+5BBMxkDYlXcxN8DV8Gh+kD1B8ifTftT0IQUX0UmaXzO7O/DtLvhBYZogJUvgoaCdQOMIJ7hDhCQnnPjxc4tR4C3piqvR4T2UC3aytGHPMD5zqBRZ28LrXbsSc7WNk2xxHtkNVF22j/ltjf5PueBVfOAtn+x/Ol5RC4LcEPL/XrdtblmWz86jU1G21Og9pluhxHKWZyl3jn5mAiQt9ISAEhIAQEAJCQAj8hMBbVVVaZ/Gpu4Cs79Q6rltstJbR5w3gfVc4CwEhsIkE6v59+dJCQAgIASHwNYEeXIQYYsa6aEEbIuD9aoBr2meco8mq6i3XIddTdo81VsUnRB8566kRMrMnwZjREBerSGmyfq7R6nN0ZbaPK2YN2AfMH+CGXmmbTeDw7OP9lgAAAP//AwBQSwMEFAAGAAgAAAAhAK1qp1GVAQAAGwMAABAACAFkb2NQcm9wcy9hcHAueG1sIKIEASigAAE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nJLNbtswEITvBfoOAu8x5fQHhUExMOy2KdoiBqQkZ5ZaWUQokuBuBLtPX0qCHbntKbfd2cHw45Li5tDZrIeIxruCLRc5y8BpXxu3L9h99eXqE8uQlKuV9Q4KdgRkN/LtG7GLPkAkA5ilCIcFa4nCinPULXQKF2ns0qTxsVOU2rjnvmmMhq3Xzx044td5/pHDgcDVUF+FcyCbElc9vTa09nrgw4fqGBKwFOsQrNGK0i3lT6OjR99Q9vmgwQo+H4pEV4J+joaOMhd83opSKwubFCwbZREEfxHELahhaTtlIkrR06oHTT5maH6ntV2z7JdCGHAK1qtolKOENdimZqxtQIry0ccnbAEIBU+GSRzLuXdem/dyORpScWkcAiaQNLhErAxZwLtmpyL9h3g5Jx4ZJt4Jpxz4pjPnfOOV00l/ZW98F5Q7yvL7t+26Wmfrr4KfNPHDuCe8D5XfKoLTYi9FUbYqQp3e4rz4syBu006jHUI2rXJ7qE+efwfDN3iY/rpcfljk7/L0wjNN8JdfLf8AAAD//wMAUEsBAi0AFAAGAAgAAAAhAL/lcVByAQAAZgQAABMAAAAAAAAAAAAAAAAAAAAAAFtDb250ZW50X1R5cGVzXS54bWxQSwECLQAUAAYACAAAACEAtVUwI/QAAABMAgAACwAAAAAAAAAAAAAAAACrAwAAX3JlbHMvLnJlbHNQSwECLQAUAAYACAAAACEAjYfacOAAAAAtAgAAGgAAAAAAAAAAAAAAAADQBgAAeGwvX3JlbHMvd29ya2Jvb2sueG1sLnJlbHNQSwECLQAUAAYACAAAACEAIDMv2TsCAACZBAAADwAAAAAAAAAAAAAAAADwCAAAeGwvd29ya2Jvb2sueG1sUEsBAi0AFAAGAAgAAAAhADttMkvBAAAAQgEAACMAAAAAAAAAAAAAAAAAWAsAAHhsL3dvcmtzaGVldHMvX3JlbHMvc2hlZXQxLnhtbC5yZWxzUEsBAi0AFAAGAAgAAAAhAIuCbliTBgAAjhoAABMAAAAAAAAAAAAAAAAAWgwAAHhsL3RoZW1lL3RoZW1lMS54bWxQSwECLQAUAAYACAAAACEAHMYVOpEEAAAVFwAAGAAAAAAAAAAAAAAAAAAeEwAAeGwvd29ya3NoZWV0cy9zaGVldDEueG1sUEsBAi0AFAAGAAgAAAAhAG6UHu2FDgAA4GwAAA0AAAAAAAAAAAAAAAAA5RcAAHhsL3N0eWxlcy54bWxQSwECLQAUAAYACAAAACEARGWhSVYBAACJAgAAEQAAAAAAAAAAAAAAAACVJgAAZG9jUHJvcHMvY29yZS54bWxQSwECLQAUAAYACAAAACEAek+mBk8BAAC4FwAAJwAAAAAAAAAAAAAAAAAiKQAAeGwvcHJpbnRlclNldHRpbmdzL3ByaW50ZXJTZXR0aW5nczEuYmluUEsBAi0AFAAGAAgAAAAhAK1qp1GVAQAAGwMAABAAAAAAAAAAAAAAAAAAtioAAGRvY1Byb3BzL2FwcC54bWxQSwUGAAAAAAsACwDkAgAAgS0AAAAA</bi>
                        <ref key="applyFirst" refId="1138"/>
                        <m key="rules" refId="1264" keid="SYS_STR" veid="System.Collections.IList">
                          <key>
                            <s>46524D4F424A-45-464F52----524F5753-464F52-56414C554553-234E2F41</s>
                          </key>
                          <val>
                            <l refId="1265" ln="1">
                              <be refId="1266" clsId="StyleRule">
                                <be key="ruleCondition" refId="1267" clsId="StyleRuleCondition">
                                  <b key="trailing">N</b>
                                  <b key="leading">N</b>
                                </be>
                                <s key="codStile">Style6</s>
                              </be>
                            </l>
                          </val>
                          <key>
                            <s>46524D4F424A-45-464F52----524F5753-464F52-48454144455253-234E2F41</s>
                          </key>
                          <val>
                            <l refId="1268" ln="1">
                              <be refId="1269" clsId="StyleRule">
                                <be key="ruleCondition" refId="1270" clsId="StyleRuleCondition">
                                  <b key="trailing">N</b>
                                  <b key="leading">N</b>
                                </be>
                                <s key="codStile">Style3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271" ln="1">
                              <be refId="1272" clsId="StyleRule">
                                <be key="ruleCondition" refId="1273" clsId="StyleRuleCondition">
                                  <b key="trailing">N</b>
                                  <b key="leading">N</b>
                                </be>
                                <s key="codStile">Style6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1274" ln="1">
                              <be refId="1275" clsId="StyleRule">
                                <be key="ruleCondition" refId="1276" clsId="StyleRuleCondition">
                                  <b key="trailing">N</b>
                                  <b key="leading">N</b>
                                </be>
                                <s key="codStile">Style3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179</s>
                    </key>
                    <val>
                      <be refId="1277" clsId="StyleSheet">
                        <be key="version" refId="1278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24"/>
                        <m key="rules" refId="1279" keid="SYS_STR" veid="System.Collections.IList">
                          <key>
                            <s>46524D4F424A-45-48454144455253----524F5753-234E2F41-48454144455253-234E2F41</s>
                          </key>
                          <val>
                            <l refId="1280" ln="1">
                              <be refId="1281" clsId="StyleRule">
                                <be key="ruleCondition" refId="1282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283" ln="1">
                              <be refId="1284" clsId="StyleRule">
                                <be key="ruleCondition" refId="1285" clsId="StyleRuleCondition">
                                  <b key="trailing">N</b>
                                  <b key="leading">N</b>
                                </be>
                                <s key="codStile">Style5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189</s>
                    </key>
                    <val>
                      <be refId="1286" clsId="StyleSheet">
                        <be key="version" refId="1287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38"/>
                        <m key="rules" refId="1288" keid="SYS_STR" veid="System.Collections.IList">
                          <key>
                            <s>46524D4F424A-45-56414C554553----524F5753-234E2F41-56414C554553-234E2F41</s>
                          </key>
                          <val>
                            <l refId="1289" ln="1">
                              <be refId="1290" clsId="StyleRule">
                                <be key="ruleCondition" refId="1291" clsId="StyleRuleCondition">
                                  <b key="trailing">N</b>
                                  <b key="leading">N</b>
                                </be>
                                <s key="codStile">Style9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180</s>
                    </key>
                    <val>
                      <be refId="1292" clsId="StyleSheet">
                        <be key="version" refId="1293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24"/>
                        <m key="rules" refId="1294" keid="SYS_STR" veid="System.Collections.IList">
                          <key>
                            <s>46524D4F424A-45-464F52----524F5753-464F52-56414C554553-234E2F41</s>
                          </key>
                          <val>
                            <l refId="1295" ln="1">
                              <be refId="1296" clsId="StyleRule">
                                <be key="ruleCondition" refId="1297" clsId="StyleRuleCondition">
                                  <b key="trailing">N</b>
                                  <b key="leading">N</b>
                                </be>
                                <s key="codStile">Style10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298" ln="1">
                              <be refId="1299" clsId="StyleRule">
                                <be key="ruleCondition" refId="1300" clsId="StyleRuleCondition">
                                  <b key="trailing">N</b>
                                  <b key="leading">N</b>
                                </be>
                                <s key="codStile">Style10</s>
                              </be>
                            </l>
                          </val>
                          <key>
                            <s>46524D4F424A-45-48454144455253----524F5753-234E2F41-48454144455253-234E2F41</s>
                          </key>
                          <val>
                            <l refId="1301" ln="1">
                              <be refId="1302" clsId="StyleRule">
                                <be key="ruleCondition" refId="1303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  <key>
                            <s>46524D4F424A-45-----524F5753-234E2F41-234E2F41-234E2F41</s>
                          </key>
                          <val>
                            <l refId="1304" ln="1">
                              <be refId="1305" clsId="StyleRule">
                                <be key="ruleCondition" refId="1306" clsId="StyleRuleCondition">
                                  <b key="trailing">N</b>
                                  <b key="leading">N</b>
                                </be>
                                <s key="codStile">Style10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187</s>
                    </key>
                    <val>
                      <be refId="1307" clsId="StyleSheet">
                        <be key="version" refId="1308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24"/>
                        <m key="rules" refId="1309" keid="SYS_STR" veid="System.Collections.IList">
                          <key>
                            <s>46524D4F424A-45-48454144455253----524F5753-234E2F41-48454144455253-234E2F41</s>
                          </key>
                          <val>
                            <l refId="1310" ln="1">
                              <be refId="1311" clsId="StyleRule">
                                <be key="ruleCondition" refId="1312" clsId="StyleRuleCondition">
                                  <b key="trailing">N</b>
                                  <b key="leading">N</b>
                                </be>
                                <s key="codStile">Style4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313" ln="2">
                              <be refId="1314" clsId="StyleRule">
                                <be key="ruleCondition" refId="1315" clsId="StyleRuleCondition">
                                  <b key="trailing">N</b>
                                  <b key="leading">N</b>
                                </be>
                                <s key="codStile">Style8</s>
                              </be>
                              <be refId="1316" clsId="StyleRule">
                                <be key="ruleCondition" refId="1317" clsId="StyleRuleCondition">
                                  <b key="trailing">N</b>
                                  <b key="leading">N</b>
                                </be>
                                <s key="codStile">Style13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  <key>
                      <s>199</s>
                    </key>
                    <val>
                      <be refId="1318" clsId="StyleSheet">
                        <be key="version" refId="1319" clsId="ClientVersionInfo">
                          <s key="PRIMARY">10</s>
                          <s key="RELEASE">0</s>
                          <s key="PATCH"/>
                          <s key="BUILD"/>
                          <s key="VERSION.PRINCIPAL">5</s>
                          <s key="VERSION.MAJOR">2</s>
                          <s key="VERSION.MINOR">4</s>
                          <s key="VERSION.PATCH">15</s>
                          <s key="VERSION.TIMESTAMP">20170731151857</s>
                          <s key="VERSION.APPNAME">tgk</s>
                          <s key="VERSION.USERNAME">admin</s>
                          <b key="VERSION.SNAPSHOT">N</b>
                        </be>
                        <s key="cod">TGK_02</s>
                        <ref key="applyFirst" refId="1138"/>
                        <m key="rules" refId="1320" keid="SYS_STR" veid="System.Collections.IList">
                          <key>
                            <s>46524D4F424A-45-48454144455253----524F5753-234E2F41-48454144455253-234E2F41</s>
                          </key>
                          <val>
                            <l refId="1321" ln="1">
                              <be refId="1322" clsId="StyleRule">
                                <be key="ruleCondition" refId="1323" clsId="StyleRuleCondition">
                                  <b key="trailing">N</b>
                                  <b key="leading">N</b>
                                </be>
                                <s key="codStile">Style2</s>
                              </be>
                            </l>
                          </val>
                          <key>
                            <s>46524D4F424A-45-56414C554553----524F5753-234E2F41-56414C554553-234E2F41</s>
                          </key>
                          <val>
                            <l refId="1324" ln="1">
                              <be refId="1325" clsId="StyleRule">
                                <be key="ruleCondition" refId="1326" clsId="StyleRuleCondition">
                                  <b key="trailing">N</b>
                                  <b key="leading">N</b>
                                </be>
                                <s key="codStile">Style6</s>
                              </be>
                            </l>
                          </val>
                        </m>
                        <d key="dateUpd">1504521054897</d>
                        <ref key="tipoClient" refId="1135"/>
                      </be>
                    </val>
                  </m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27" ln="0" eid="Reporting.com.tagetik.tables.IMatixCellLeafPositions,Reporting"/>
                  <m key="forcedEditModes" refId="1328" keid="Reporting.com.tagetik.tables.IMatixCellLeafPositions,Reporting" veid="SYS_STR"/>
                  <b key="UseTxlDeFormEditor">N</b>
                  <be key="TxDeFormsEditorDescriptor" refId="1329" clsId="TxDeFormsEditorDescriptor">
                    <l key="Tabs" refId="1330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</be>
              </val>
            </m>
            <m key="cellFields" refId="1331" keid="SYS_STR" veid="CodeCellField">
              <key>
                <s>CellField01</s>
              </key>
              <val>
                <be refId="1332" clsId="CodeCellField">
                  <s key="code">CellField01</s>
                  <s key="cellField">"Currency:  k" + RIGHT($Entity.currency( column("Matrix00",2).$Scenario, column("Matrix00",2).$Period).code,3)</s>
                </be>
              </val>
              <key>
                <s>CellField00</s>
              </key>
              <val>
                <be refId="1333" clsId="CodeCellField">
                  <s key="code">CellField00</s>
                  <s key="cellField">$Scenario.code</s>
                </be>
              </val>
            </m>
            <m key="dictionary" refId="1334" keid="SYS_STR" veid="CodeMultiDescVO"/>
            <m key="controlExpressions" refId="1335" keid="SYS_STR" veid="CodedExpControlloProspetto"/>
            <m key="inlineParameters" refId="1336" keid="SYS_STR" veid="CodedInlineParameter">
              <key>
                <s>InlineParameter04</s>
              </key>
              <val>
                <be refId="1337" clsId="CodedInlineParameter">
                  <s key="code">InlineParameter04</s>
                  <be key="inlineParameter" refId="1338" clsId="InlineParameter">
                    <cust key="oid" clsId="DimensionOid">5343455F24-45-46545F5343455F245F5945415231--50-</cust>
                  </be>
                </be>
              </val>
              <key>
                <s>InlineParameter02</s>
              </key>
              <val>
                <be refId="1339" clsId="CodedInlineParameter">
                  <s key="code">InlineParameter02</s>
                  <be key="inlineParameter" refId="1340" clsId="InlineParameter">
                    <cust key="oid" clsId="DimensionOid">44455354355F43545F3031-45-53415F44455354355F5645--50-</cust>
                  </be>
                </be>
              </val>
              <key>
                <s>InlineParameter03</s>
              </key>
              <val>
                <be refId="1341" clsId="CodedInlineParameter">
                  <s key="code">InlineParameter03</s>
                  <be key="inlineParameter" refId="1342" clsId="InlineParameter">
                    <cust key="oid" clsId="DimensionOid">5343455F24-45-46545F5343455F245F5945415231--50-</cust>
                  </be>
                </be>
              </val>
              <key>
                <s>InlineParameter00</s>
              </key>
              <val>
                <be refId="1343" clsId="CodedInlineParameter">
                  <s key="code">InlineParameter00</s>
                  <be key="inlineParameter" refId="1344" clsId="InlineParameter">
                    <cust key="oid" clsId="DimensionOid">5343455F24-45-46545F5343455F245F5945415231--50-</cust>
                  </be>
                </be>
              </val>
              <key>
                <s>InlineParameter01</s>
              </key>
              <val>
                <be refId="1345" clsId="CodedInlineParameter">
                  <s key="code">InlineParameter01</s>
                  <be key="inlineParameter" refId="1346" clsId="InlineParameter">
                    <cust key="oid" clsId="DimensionOid">415A495F454E543031-45-53415F454E545F454E543031--50-</cust>
                  </be>
                </be>
              </val>
            </m>
            <m key="queries" refId="1347" keid="SYS_STR" veid="Reporting.com.tagetik.query.IUserDefinedQueryVO,Reporting"/>
            <be key="sheets" refId="1348" clsId="FilterNode">
              <l key="dimensionOids" refId="1349" ln="0" eid="DimensionOid"/>
              <l key="AdHocParamDimensionOids" refId="1350" ln="0" eid="DimensionOid"/>
              <be key="data" refId="1351" clsId="FilterNodeData">
                <ref key="filterNode" refId="1348"/>
                <i key="segmentLevel">0</i>
                <ref key="segment" refId="18"/>
                <b key="placeHolder">N</b>
                <ref key="weight" refId="19"/>
                <be key="textMatchingCondition" refId="1352" clsId="TextMatchingCondition">
                  <ref key="op" refId="21"/>
                  <s key="val"/>
                </be>
                <ref key="change" refId="22"/>
                <ref key="dataType" refId="23"/>
                <b key="prevailingDataType">N</b>
                <ref key="editability" refId="24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b key="breakLevelSubtotal">N</b>
                <b key="alreadyDrilled">N</b>
              </be>
              <cust key="id" clsId="FilterOid">1</cust>
              <s key="cod">ROOT</s>
              <s key="desc">Tab filters</s>
              <i key="index">0</i>
              <l key="children" refId="1353" ln="3" eid="Framework.com.tagetik.trees.INode,framework">
                <be refId="1354" clsId="FilterNode">
                  <l key="dimensionOids" refId="1355" ln="1" eid="DimensionOid">
                    <cust clsId="DimensionOid">4445535432-45-43---</cust>
                  </l>
                  <l key="AdHocParamDimensionOids" refId="1356" ln="0" eid="DimensionOid"/>
                  <be key="data" refId="1357" clsId="FilterNodeData">
                    <ref key="filterNode" refId="1354"/>
                    <s key="dim">DEST2</s>
                    <i key="segmentLevel">0</i>
                    <ref key="segment" refId="18"/>
                    <b key="placeHolder">N</b>
                    <ref key="weight" refId="19"/>
                    <be key="textMatchingCondition" refId="1358" clsId="TextMatchingCondition">
                      <ref key="op" refId="21"/>
                      <s key="val"/>
                    </be>
                    <ref key="change" refId="22"/>
                    <ref key="dataType" refId="23"/>
                    <b key="prevailingDataType">N</b>
                    <ref key="editability" refId="24"/>
                    <b key="signChange">N</b>
                    <b key="nativeSignChange">N</b>
                    <i key="sco">0</i>
                    <b key="applyFiltersForForcedScenarioPeriodoMap">N</b>
                    <b key="lineSplit">N</b>
                    <b key="addRCRow">N</b>
                    <b key="complementary">N</b>
                    <b key="breakLevelSubtotal">N</b>
                    <b key="alreadyDrilled">N</b>
                    <m key="nodeTypes" refId="1359" keid="SYS_STR" veid="EFReportingNodeType">
                      <key>
                        <s>4445535432-45-43---</s>
                      </key>
                      <val>
                        <ref refId="32"/>
                      </val>
                    </m>
                  </be>
                  <cust key="id" clsId="FilterOid">2</cust>
                  <i key="index">0</i>
                  <ref key="parent" refId="1348"/>
                </be>
                <be refId="1360" clsId="FilterNode">
                  <l key="dimensionOids" refId="1361" ln="1" eid="DimensionOid">
                    <cust clsId="DimensionOid">4445535432-45-45---</cust>
                  </l>
                  <l key="AdHocParamDimensionOids" refId="1362" ln="0" eid="DimensionOid"/>
                  <be key="data" refId="1363" clsId="FilterNodeData">
                    <ref key="filterNode" refId="1360"/>
                    <s key="dim">DEST2</s>
                    <i key="segmentLevel">0</i>
                    <ref key="segment" refId="18"/>
                    <b key="placeHolder">N</b>
                    <ref key="weight" refId="19"/>
                    <be key="textMatchingCondition" refId="1364" clsId="TextMatchingCondition">
                      <ref key="op" refId="21"/>
                      <s key="val"/>
                    </be>
                    <ref key="change" refId="22"/>
                    <ref key="dataType" refId="23"/>
                    <b key="prevailingDataType">N</b>
                    <ref key="editability" refId="24"/>
                    <b key="signChange">N</b>
                    <b key="nativeSignChange">N</b>
                    <i key="sco">0</i>
                    <b key="applyFiltersForForcedScenarioPeriodoMap">N</b>
                    <b key="lineSplit">N</b>
                    <b key="addRCRow">N</b>
                    <b key="complementary">N</b>
                    <b key="breakLevelSubtotal">N</b>
                    <b key="alreadyDrilled">N</b>
                    <m key="nodeTypes" refId="1365" keid="SYS_STR" veid="EFReportingNodeType">
                      <key>
                        <s>4445535432-45-45---</s>
                      </key>
                      <val>
                        <ref refId="32"/>
                      </val>
                    </m>
                  </be>
                  <cust key="id" clsId="FilterOid">3</cust>
                  <i key="index">0</i>
                  <ref key="parent" refId="1348"/>
                </be>
                <be refId="1366" clsId="FilterNode">
                  <l key="dimensionOids" refId="1367" ln="1" eid="DimensionOid">
                    <cust clsId="DimensionOid">4445535432-45-4D---</cust>
                  </l>
                  <l key="AdHocParamDimensionOids" refId="1368" ln="0" eid="DimensionOid"/>
                  <be key="data" refId="1369" clsId="FilterNodeData">
                    <ref key="filterNode" refId="1366"/>
                    <s key="dim">DEST2</s>
                    <i key="segmentLevel">0</i>
                    <ref key="segment" refId="18"/>
                    <b key="placeHolder">N</b>
                    <ref key="weight" refId="19"/>
                    <be key="textMatchingCondition" refId="1370" clsId="TextMatchingCondition">
                      <ref key="op" refId="21"/>
                      <s key="val"/>
                    </be>
                    <ref key="change" refId="22"/>
                    <ref key="dataType" refId="23"/>
                    <b key="prevailingDataType">N</b>
                    <ref key="editability" refId="24"/>
                    <b key="signChange">N</b>
                    <b key="nativeSignChange">N</b>
                    <i key="sco">0</i>
                    <b key="applyFiltersForForcedScenarioPeriodoMap">N</b>
                    <b key="lineSplit">N</b>
                    <b key="addRCRow">N</b>
                    <b key="complementary">N</b>
                    <b key="breakLevelSubtotal">N</b>
                    <b key="alreadyDrilled">N</b>
                    <m key="nodeTypes" refId="1371" keid="SYS_STR" veid="EFReportingNodeType">
                      <key>
                        <s>4445535432-45-4D---</s>
                      </key>
                      <val>
                        <ref refId="32"/>
                      </val>
                    </m>
                  </be>
                  <cust key="id" clsId="FilterOid">4</cust>
                  <i key="index">0</i>
                  <ref key="parent" refId="1348"/>
                </be>
              </l>
            </be>
            <m key="launchers" refId="1372" keid="SYS_STR" veid="ElaborationsLauncher"/>
            <m key="actionLists" refId="1373" keid="SYS_STR" veid="Reporting.com.tagetik.actionlist.ISnapshotActionList,Reporting"/>
            <l key="areas" refId="1374" ln="3" eid="SYS_STR">
              <s>FCorACT</s>
              <s>Quartale</s>
              <s>SCECODE</s>
            </l>
            <l key="charts" refId="1375" ln="0" eid="SYS_STR"/>
            <l key="pivots" refId="1376" ln="0" eid="SYS_STR"/>
          </be>
        </val>
      </m>
      <m key="templateLayouts" refId="1377" keid="SYS_STR" veid="Reporting.com.tagetik.report.IReportTemplateLayoutVO,Reporting">
        <key>
          <s>Template00</s>
        </key>
        <val>
          <be refId="1378" clsId="ReportTemplateLayoutVO">
            <i key="index">0</i>
            <s key="code">Template00</s>
            <m key="cellFieldAddresses" refId="1379" keid="SYS_STR" veid="Reporting.com.tagetik.spreadsheet.gridwrappers.IGridReaderVO,Reporting">
              <key>
                <s>CellField01</s>
              </key>
              <val>
                <be refId="1380" clsId="ExcelCompactGridReaderVO">
                  <be key="element" refId="13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C9</s>
                </be>
              </val>
              <key>
                <s>CellField00</s>
              </key>
              <val>
                <be refId="1382" clsId="ExcelCompactGridReaderVO">
                  <be key="element" refId="1383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C1</s>
                </be>
              </val>
            </m>
            <m key="controlExpressionsAddresses" refId="1384" keid="SYS_STR" veid="Reporting.com.tagetik.spreadsheet.gridwrappers.IGridReaderVO,Reporting"/>
            <m key="inlineParameterAddresses" refId="1385" keid="SYS_STR" veid="Reporting.com.tagetik.spreadsheet.gridwrappers.IGridReaderVO,Reporting">
              <key>
                <s>InlineParameter04</s>
              </key>
              <val>
                <be refId="1386" clsId="ExcelCompactGridReaderVO">
                  <be key="element" refId="1387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E4</s>
                </be>
              </val>
              <key>
                <s>InlineParameter02</s>
              </key>
              <val>
                <be refId="1388" clsId="ExcelCompactGridReaderVO">
                  <be key="element" refId="1389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E8</s>
                </be>
              </val>
              <key>
                <s>InlineParameter03</s>
              </key>
              <val>
                <be refId="1390" clsId="ExcelCompactGridReaderVO">
                  <be key="element" refId="139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E4</s>
                </be>
              </val>
              <key>
                <s>InlineParameter00</s>
              </key>
              <val>
                <be refId="1392" clsId="ExcelCompactGridReaderVO">
                  <be key="element" refId="1393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E4</s>
                </be>
              </val>
              <key>
                <s>InlineParameter01</s>
              </key>
              <val>
                <be refId="1394" clsId="ExcelCompactGridReaderVO">
                  <be key="element" refId="1395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E6</s>
                </be>
              </val>
            </m>
            <m key="dictionaryAddresses" refId="1396" keid="SYS_STR" veid="Reporting.com.tagetik.spreadsheet.gridwrappers.IGridReaderVO,Reporting"/>
            <m key="hyperlinkAddresses" refId="1397" keid="SYS_STR" veid="Reporting.com.tagetik.spreadsheet.gridwrappers.IGridReaderVO,Reporting"/>
            <m key="matrixGridReaders" refId="1398" keid="SYS_STR" veid="Reporting.com.tagetik.spreadsheet.gridwrappers.IGridReaderVO,Reporting">
              <key>
                <s>Matrix00</s>
              </key>
              <val>
                <be refId="1399" clsId="ExcelCompactGridReaderVO">
                  <be key="element" refId="1400" clsId="BasicLogicalElement">
                    <i key="columnHeadersCount">2</i>
                    <i key="rowHeadersCount">2</i>
                    <i key="valueColumns">24</i>
                    <i key="valueRows">55</i>
                  </be>
                  <s key="firstCell">B10</s>
                </be>
              </val>
            </m>
            <m key="queryGridReaders" refId="1401" keid="SYS_STR" veid="Reporting.com.tagetik.spreadsheet.gridwrappers.IGridReaderVO,Reporting"/>
          </be>
        </val>
      </m>
      <m key="adHocParameters" refId="1402" keid="SYS_STR" veid="ProspParametro"/>
      <l key="parametersToBeRequested" refId="1403" ln="3" eid="ParameterInfo">
        <be refId="1404" clsId="ParameterInfo">
          <cust key="oid" clsId="DimensionOid">5343455F24-45-46545F5343455F245F5945415231--50-</cust>
          <b key="explicitlyUsed">S</b>
          <b key="forced">N</b>
          <b key="advanced">N</b>
        </be>
        <be refId="1405" clsId="ParameterInfo">
          <cust key="oid" clsId="DimensionOid">415A495F454E543031-45-53415F454E545F454E543031--50-</cust>
          <b key="explicitlyUsed">S</b>
          <b key="forced">N</b>
          <b key="advanced">N</b>
        </be>
        <be refId="1406" clsId="ParameterInfo">
          <cust key="oid" clsId="DimensionOid">44455354355F43545F3031-45-53415F44455354355F5645--50-</cust>
          <b key="explicitlyUsed">S</b>
          <b key="forced">N</b>
          <b key="advanced">N</b>
        </be>
      </l>
      <be key="reportFilters" refId="1407" clsId="FilterNode">
        <l key="dimensionOids" refId="1408" ln="0" eid="DimensionOid"/>
        <l key="AdHocParamDimensionOids" refId="1409" ln="0" eid="DimensionOid"/>
        <be key="data" refId="1410" clsId="FilterNodeData">
          <ref key="filterNode" refId="1407"/>
          <i key="segmentLevel">0</i>
          <ref key="segment" refId="18"/>
          <b key="placeHolder">N</b>
          <ref key="weight" refId="19"/>
          <be key="textMatchingCondition" refId="1411" clsId="TextMatchingCondition">
            <ref key="op" refId="21"/>
            <s key="val"/>
          </be>
          <ref key="change" refId="22"/>
          <ref key="dataType" refId="23"/>
          <b key="prevailingDataType">N</b>
          <ref key="editability" refId="24"/>
          <b key="signChange">N</b>
          <b key="nativeSignChange">N</b>
          <i key="sco">0</i>
          <b key="applyFiltersForForcedScenarioPeriodoMap">N</b>
          <b key="lineSplit">N</b>
          <b key="addRCRow">N</b>
          <b key="complementary">N</b>
          <b key="breakLevelSubtotal">N</b>
          <b key="alreadyDrilled">N</b>
        </be>
        <cust key="id" clsId="FilterOid">1</cust>
        <s key="cod">ROOT</s>
        <s key="desc">Report filters root</s>
        <i key="index">0</i>
        <l key="children" refId="1412" ln="1" eid="Framework.com.tagetik.trees.INode,framework">
          <be refId="1413" clsId="FilterNode">
            <l key="dimensionOids" refId="1414" ln="1" eid="DimensionOid">
              <cust clsId="DimensionOid">415A495F454E543031-45-53415F454E545F454E543031--50-</cust>
            </l>
            <l key="AdHocParamDimensionOids" refId="1415" ln="0" eid="DimensionOid"/>
            <be key="data" refId="1416" clsId="FilterNodeData">
              <ref key="filterNode" refId="1413"/>
              <s key="dim">AZI_ENT01</s>
              <i key="segmentLevel">0</i>
              <ref key="segment" refId="18"/>
              <b key="placeHolder">N</b>
              <ref key="weight" refId="19"/>
              <be key="textMatchingCondition" refId="1417" clsId="TextMatchingCondition">
                <ref key="op" refId="21"/>
                <s key="val"/>
              </be>
              <ref key="change" refId="22"/>
              <ref key="dataType" refId="23"/>
              <b key="prevailingDataType">N</b>
              <ref key="editability" refId="24"/>
              <b key="signChange">N</b>
              <b key="nativeSignChange">N</b>
              <i key="sco">0</i>
              <b key="applyFiltersForForcedScenarioPeriodoMap">N</b>
              <b key="lineSplit">N</b>
              <b key="addRCRow">N</b>
              <b key="complementary">N</b>
              <b key="breakLevelSubtotal">N</b>
              <b key="alreadyDrilled">N</b>
            </be>
            <cust key="id" clsId="FilterOid">2</cust>
            <i key="index">0</i>
            <l key="children" refId="1418" ln="1" eid="Framework.com.tagetik.trees.INode,framework">
              <be refId="1419" clsId="FilterNode">
                <l key="dimensionOids" refId="1420" ln="1" eid="DimensionOid">
                  <cust clsId="DimensionOid">44455354355F43545F3031-45-53415F44455354355F5645--50-</cust>
                </l>
                <l key="AdHocParamDimensionOids" refId="1421" ln="0" eid="DimensionOid"/>
                <be key="data" refId="1422" clsId="FilterNodeData">
                  <ref key="filterNode" refId="1419"/>
                  <s key="dim">DEST5_CT_01</s>
                  <i key="segmentLevel">0</i>
                  <ref key="segment" refId="18"/>
                  <b key="placeHolder">N</b>
                  <ref key="weight" refId="19"/>
                  <be key="textMatchingCondition" refId="1423" clsId="TextMatchingCondition">
                    <ref key="op" refId="21"/>
                    <s key="val"/>
                  </be>
                  <ref key="change" refId="22"/>
                  <ref key="dataType" refId="23"/>
                  <b key="prevailingDataType">N</b>
                  <ref key="editability" refId="24"/>
                  <b key="signChange">N</b>
                  <b key="nativeSignChange">N</b>
                  <i key="sco">0</i>
                  <b key="applyFiltersForForcedScenarioPeriodoMap">N</b>
                  <b key="lineSplit">N</b>
                  <b key="addRCRow">N</b>
                  <b key="complementary">N</b>
                  <b key="breakLevelSubtotal">N</b>
                  <b key="alreadyDrilled">N</b>
                </be>
                <cust key="id" clsId="FilterOid">5</cust>
                <i key="index">0</i>
                <ref key="parent" refId="1413"/>
              </be>
            </l>
            <ref key="parent" refId="1407"/>
          </be>
        </l>
      </be>
    </be>
  </data>
</easyPacket>
</file>

<file path=customXml/itemProps1.xml><?xml version="1.0" encoding="utf-8"?>
<ds:datastoreItem xmlns:ds="http://schemas.openxmlformats.org/officeDocument/2006/customXml" ds:itemID="{7977B2BD-1F24-4754-A45C-5DA2304ACE7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C</vt:lpstr>
      <vt:lpstr>E</vt:lpstr>
      <vt:lpstr>M</vt:lpstr>
      <vt:lpstr>_tgk_hidden_styles</vt:lpstr>
      <vt:lpstr>_tgk_hidden_styles!FCorACT</vt:lpstr>
      <vt:lpstr>M!FCorACT</vt:lpstr>
      <vt:lpstr>FCorACT</vt:lpstr>
      <vt:lpstr>_tgk_hidden_styles!Quartale</vt:lpstr>
      <vt:lpstr>M!Quartale</vt:lpstr>
      <vt:lpstr>Quartale</vt:lpstr>
      <vt:lpstr>_tgk_hidden_styles!SCECODE</vt:lpstr>
      <vt:lpstr>M!SCECODE</vt:lpstr>
      <vt:lpstr>SCECODE</vt:lpstr>
    </vt:vector>
  </TitlesOfParts>
  <Manager/>
  <Company>SKIDATA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Tanja Sonderegger - External</dc:creator>
  <cp:lastModifiedBy>Samson Tesfay</cp:lastModifiedBy>
  <dcterms:created xsi:type="dcterms:W3CDTF">2017-08-30T04:36:11Z</dcterms:created>
  <dcterms:modified xsi:type="dcterms:W3CDTF">2017-11-22T14:20:10Z</dcterms:modified>
</cp:coreProperties>
</file>